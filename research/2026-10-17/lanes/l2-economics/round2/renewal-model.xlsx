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Calc" sheetId="3" state="visible" r:id="rId5"/>
    <sheet name="MC_results" sheetId="4" state="visible" r:id="rId6"/>
    <sheet name="Pricing_grid" sheetId="5" state="visible" r:id="rId7"/>
    <sheet name="Buyers" sheetId="6" state="visible" r:id="rId8"/>
    <sheet name="MDE" sheetId="7" state="visible" r:id="rId9"/>
    <sheet name="Sensitivity" sheetId="8" state="visible" r:id="rId10"/>
    <sheet name="Expansion" sheetId="9" state="visible" r:id="rId11"/>
    <sheet name="TRAI_check" sheetId="10" state="visible" r:id="rId12"/>
    <sheet name="Incumbents" sheetId="11" state="visible" r:id="rId13"/>
    <sheet name="IRDAI_extrac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<sst xmlns="http://schemas.openxmlformats.org/spreadsheetml/2006/main" count="1950" uniqueCount="481">
  <si>
    <t xml:space="preserve">VP per-renewal unit economics (round 2, r2-economics-renewal, 2026-10-17)</t>
  </si>
  <si>
    <t xml:space="preserve">Inputs: mode values, editable (yellow). Calc: LIVE FORMULAS evaluating the chain at those values (a deterministic 'mode case').</t>
  </si>
  <si>
    <t xml:space="preserve">The mode case is NOT the Monte Carlo median. Decision numbers are in MC_results (values from renewal_model.py, seed 20261017, n=20,000).</t>
  </si>
  <si>
    <t xml:space="preserve">Pricing_grid, Buyers, MDE and Sensitivity are VALUES copied from the CSVs written by renewal_model.py; Expansion, TRAI_check and Incumbents from expansion_sizing.py; IRDAI_extracts from extract_irdai_handbook.py.</t>
  </si>
  <si>
    <t xml:space="preserve">Per due policy unless labelled 'per 1,000 due'. INR. FX not used (all inputs are INR).</t>
  </si>
  <si>
    <t xml:space="preserve">Assumption-heavy: AI/human outcome parity, persuasion, baseline renewal rates and desk productivity are NOT measured. The interviews must measure them.</t>
  </si>
  <si>
    <t xml:space="preserve">Source tags: [prim] primary, [comp] computed from IRDAI Handbook 2024-25, [sec] secondary, [vend] vendor claim, [asm] assumption.</t>
  </si>
  <si>
    <t xml:space="preserve">parameter</t>
  </si>
  <si>
    <t xml:space="preserve">description</t>
  </si>
  <si>
    <t xml:space="preserve">2W_motor</t>
  </si>
  <si>
    <t xml:space="preserve">4W_motor</t>
  </si>
  <si>
    <t xml:space="preserve">health</t>
  </si>
  <si>
    <t xml:space="preserve">life_yr2plus</t>
  </si>
  <si>
    <t xml:space="preserve">low-high range (MC)</t>
  </si>
  <si>
    <t xml:space="preserve">source tag</t>
  </si>
  <si>
    <t xml:space="preserve">P</t>
  </si>
  <si>
    <t xml:space="preserve">premium per renewal, INR</t>
  </si>
  <si>
    <t xml:space="preserve">2W_motor: 714-3000; 4W_motor: 5000-25000; health: 9000-30000; life_yr2plus: 15000-75000</t>
  </si>
  <si>
    <t xml:space="preserve">see renewal_model.py comments</t>
  </si>
  <si>
    <t xml:space="preserve">c</t>
  </si>
  <si>
    <t xml:space="preserve">commission share of premium</t>
  </si>
  <si>
    <t xml:space="preserve">2W_motor: 0.08-0.25; 4W_motor: 0.1-0.28; health: 0.1-0.2; life_yr2plus: 0.03-0.075</t>
  </si>
  <si>
    <t xml:space="preserve">b0</t>
  </si>
  <si>
    <t xml:space="preserve">renewal rate with no calling</t>
  </si>
  <si>
    <t xml:space="preserve">2W_motor: 0.3-0.6; 4W_motor: 0.45-0.75; health: 0.75-0.92; life_yr2plus: 0.7-0.9</t>
  </si>
  <si>
    <t xml:space="preserve">s_pre</t>
  </si>
  <si>
    <t xml:space="preserve">share of baseline renewers who renew before the first call</t>
  </si>
  <si>
    <t xml:space="preserve">2W_motor: 0.1-0.4; 4W_motor: 0.1-0.35; health: 0.15-0.45; life_yr2plus: 0.15-0.45</t>
  </si>
  <si>
    <t xml:space="preserve">covH</t>
  </si>
  <si>
    <t xml:space="preserve">share of due list the human desk works</t>
  </si>
  <si>
    <t xml:space="preserve">2W_motor: 0.1-0.6; 4W_motor: 0.5-1.0; health: 0.5-1.0; life_yr2plus: 0.5-1.0</t>
  </si>
  <si>
    <t xml:space="preserve">persH</t>
  </si>
  <si>
    <t xml:space="preserve">P(saved | reached by human, would lapse)</t>
  </si>
  <si>
    <t xml:space="preserve">2W_motor: 0.1-0.4; 4W_motor: 0.1-0.4; health: 0.08-0.35; life_yr2plus: 0.08-0.35</t>
  </si>
  <si>
    <t xml:space="preserve">m_rpc</t>
  </si>
  <si>
    <t xml:space="preserve">minutes per right-party conversation</t>
  </si>
  <si>
    <t xml:space="preserve">2W_motor: 1.0-2.5; 4W_motor: 1.5-4.0; health: 1.2-3.0; life_yr2plus: 1.5-3.5</t>
  </si>
  <si>
    <t xml:space="preserve">r_future</t>
  </si>
  <si>
    <t xml:space="preserve">annual retention after a save (3-yr LTV)</t>
  </si>
  <si>
    <t xml:space="preserve">2W_motor: 0.4-0.7; 4W_motor: 0.5-0.8; health: 0.8-0.92; life_yr2plus: 0.85-0.95</t>
  </si>
  <si>
    <t xml:space="preserve">trough</t>
  </si>
  <si>
    <t xml:space="preserve">trough month / mean month due list</t>
  </si>
  <si>
    <t xml:space="preserve">2W_motor: 0.7-0.9; 4W_motor: 0.7-0.9; health: 0.85-0.97; life_yr2plus: 0.55-0.85</t>
  </si>
  <si>
    <t xml:space="preserve">common parameter</t>
  </si>
  <si>
    <t xml:space="preserve">value</t>
  </si>
  <si>
    <t xml:space="preserve">p_ans</t>
  </si>
  <si>
    <t xml:space="preserve">P(answered) per attempt [vend anchor Callyzer 46-48%]</t>
  </si>
  <si>
    <t xml:space="preserve">0.3-0.55</t>
  </si>
  <si>
    <t xml:space="preserve">q_rpc</t>
  </si>
  <si>
    <t xml:space="preserve">P(right party | answered) [asm]</t>
  </si>
  <si>
    <t xml:space="preserve">0.75-0.95</t>
  </si>
  <si>
    <t xml:space="preserve">r_max</t>
  </si>
  <si>
    <t xml:space="preserve">share reachable at all [asm]</t>
  </si>
  <si>
    <t xml:space="preserve">f1600</t>
  </si>
  <si>
    <t xml:space="preserve">pickup multiplier for AI on 1600xx [asm]</t>
  </si>
  <si>
    <t xml:space="preserve">0.7-1.05</t>
  </si>
  <si>
    <t xml:space="preserve">parity</t>
  </si>
  <si>
    <t xml:space="preserve">AI persuasion / human persuasion [asm]</t>
  </si>
  <si>
    <t xml:space="preserve">0.5-1.05</t>
  </si>
  <si>
    <t xml:space="preserve">m_nr</t>
  </si>
  <si>
    <t xml:space="preserve">minutes, answered wrong-party/not-now call [asm]</t>
  </si>
  <si>
    <t xml:space="preserve">0.2-0.8</t>
  </si>
  <si>
    <t xml:space="preserve">short</t>
  </si>
  <si>
    <t xml:space="preserve">RPC minutes for would-renew-anyway / m_rpc [asm]</t>
  </si>
  <si>
    <t xml:space="preserve">0.4-0.8</t>
  </si>
  <si>
    <t xml:space="preserve">wa</t>
  </si>
  <si>
    <t xml:space="preserve">WhatsApp utility messages per due policy [asm]</t>
  </si>
  <si>
    <t xml:space="preserve">1.0-3.0</t>
  </si>
  <si>
    <t xml:space="preserve">c_att</t>
  </si>
  <si>
    <t xml:space="preserve">INR per unanswered attempt [asm]</t>
  </si>
  <si>
    <t xml:space="preserve">0.0-0.15</t>
  </si>
  <si>
    <t xml:space="preserve">esc</t>
  </si>
  <si>
    <t xml:space="preserve">share of RPCs escalated to a human [asm]</t>
  </si>
  <si>
    <t xml:space="preserve">0.05-0.25</t>
  </si>
  <si>
    <t xml:space="preserve">m_esc</t>
  </si>
  <si>
    <t xml:space="preserve">human minutes per escalation [asm]</t>
  </si>
  <si>
    <t xml:space="preserve">2.0-6.0</t>
  </si>
  <si>
    <t xml:space="preserve">h</t>
  </si>
  <si>
    <t xml:space="preserve">INR per escalation minute [l2v 6-9]</t>
  </si>
  <si>
    <t xml:space="preserve">5.5-9.0</t>
  </si>
  <si>
    <t xml:space="preserve">h_desk</t>
  </si>
  <si>
    <t xml:space="preserve">INR per desk talk-minute [asm on l2/l2v 6.3-8.9]</t>
  </si>
  <si>
    <t xml:space="preserve">6.0-11.0</t>
  </si>
  <si>
    <t xml:space="preserve">m_follow</t>
  </si>
  <si>
    <t xml:space="preserve">extra minutes per saved customer [asm]</t>
  </si>
  <si>
    <t xml:space="preserve">1.0-4.0</t>
  </si>
  <si>
    <t xml:space="preserve">seat_cost</t>
  </si>
  <si>
    <t xml:space="preserve">INR/month loaded desk seat [l3/l2]</t>
  </si>
  <si>
    <t xml:space="preserve">20000-40000</t>
  </si>
  <si>
    <t xml:space="preserve">due_per_seat</t>
  </si>
  <si>
    <t xml:space="preserve">due renewals one seat works per month [asm; ASK]</t>
  </si>
  <si>
    <t xml:space="preserve">800-3000</t>
  </si>
  <si>
    <t xml:space="preserve">add1600</t>
  </si>
  <si>
    <t xml:space="preserve">INR/min 1600-series adder [asm; quotes pending]</t>
  </si>
  <si>
    <t xml:space="preserve">0.0-0.4</t>
  </si>
  <si>
    <t xml:space="preserve">K_AI</t>
  </si>
  <si>
    <t xml:space="preserve">AI attempts per contact (mode of design range 3-6)</t>
  </si>
  <si>
    <t xml:space="preserve">K_H</t>
  </si>
  <si>
    <t xml:space="preserve">human attempts per worked contact [asm]</t>
  </si>
  <si>
    <t xml:space="preserve">cogs_launch</t>
  </si>
  <si>
    <t xml:space="preserve">INR/min managed COGS at 100k min/month, MC p50 [l2v]</t>
  </si>
  <si>
    <t xml:space="preserve">cogs_scale</t>
  </si>
  <si>
    <t xml:space="preserve">INR/min managed COGS at 1M min/month, MC p50 [l2]</t>
  </si>
  <si>
    <t xml:space="preserve">wa_price</t>
  </si>
  <si>
    <t xml:space="preserve">INR per WhatsApp utility template [prim, Meta rate card 2026-10-01]</t>
  </si>
  <si>
    <t xml:space="preserve">holdout</t>
  </si>
  <si>
    <t xml:space="preserve">share of due list held out [design]</t>
  </si>
  <si>
    <t xml:space="preserve">discount</t>
  </si>
  <si>
    <t xml:space="preserve">annual discount rate for LTV [asm]</t>
  </si>
  <si>
    <t xml:space="preserve">gm_target</t>
  </si>
  <si>
    <t xml:space="preserve">VP gross-margin target for the fee floor</t>
  </si>
  <si>
    <t xml:space="preserve">talk_min_per_seat_month</t>
  </si>
  <si>
    <t xml:space="preserve">l2v basis 200 talk-min/day x 24 days</t>
  </si>
  <si>
    <t xml:space="preserve">fee_per_renewal</t>
  </si>
  <si>
    <t xml:space="preserve">fee per renewal collected (concept-test card)</t>
  </si>
  <si>
    <t xml:space="preserve">step</t>
  </si>
  <si>
    <t xml:space="preserve">formula meaning</t>
  </si>
  <si>
    <t xml:space="preserve">W</t>
  </si>
  <si>
    <t xml:space="preserve">would-lapse share = 1 - b0</t>
  </si>
  <si>
    <t xml:space="preserve">called</t>
  </si>
  <si>
    <t xml:space="preserve">share unrenewed at first call = 1 - b0*s_pre</t>
  </si>
  <si>
    <t xml:space="preserve">share_wl</t>
  </si>
  <si>
    <t xml:space="preserve">would-lapse share of the called pool</t>
  </si>
  <si>
    <t xml:space="preserve">m_mix</t>
  </si>
  <si>
    <t xml:space="preserve">RPC minutes, mixed pool</t>
  </si>
  <si>
    <t xml:space="preserve">p_ai</t>
  </si>
  <si>
    <t xml:space="preserve">AI answer prob per attempt = p_ans*f1600 (clipped)</t>
  </si>
  <si>
    <t xml:space="preserve">a_ai</t>
  </si>
  <si>
    <t xml:space="preserve">AI RPC prob per attempt</t>
  </si>
  <si>
    <t xml:space="preserve">hit_ai</t>
  </si>
  <si>
    <t xml:space="preserve">1-(1-a)^K_AI</t>
  </si>
  <si>
    <t xml:space="preserve">reach_ai</t>
  </si>
  <si>
    <t xml:space="preserve">AI right-party reach = r_max*hit</t>
  </si>
  <si>
    <t xml:space="preserve">eatt_ai</t>
  </si>
  <si>
    <t xml:space="preserve">expected attempts per reachable contact = hit/a</t>
  </si>
  <si>
    <t xml:space="preserve">att_ai</t>
  </si>
  <si>
    <t xml:space="preserve">attempts per called contact</t>
  </si>
  <si>
    <t xml:space="preserve">answered_ai</t>
  </si>
  <si>
    <t xml:space="preserve">answered calls per called contact</t>
  </si>
  <si>
    <t xml:space="preserve">nonrpc_ai</t>
  </si>
  <si>
    <t xml:space="preserve">answered, not right party</t>
  </si>
  <si>
    <t xml:space="preserve">unans_ai</t>
  </si>
  <si>
    <t xml:space="preserve">unanswered attempts per called contact</t>
  </si>
  <si>
    <t xml:space="preserve">d_ai</t>
  </si>
  <si>
    <t xml:space="preserve">incremental renewals per due vs no calling</t>
  </si>
  <si>
    <t xml:space="preserve">min_ai</t>
  </si>
  <si>
    <t xml:space="preserve">AI connected minutes per worked due</t>
  </si>
  <si>
    <t xml:space="preserve">a_h</t>
  </si>
  <si>
    <t xml:space="preserve">human RPC prob per attempt</t>
  </si>
  <si>
    <t xml:space="preserve">hit_h</t>
  </si>
  <si>
    <t xml:space="preserve">1-(1-a_h)^K_H</t>
  </si>
  <si>
    <t xml:space="preserve">reach_h</t>
  </si>
  <si>
    <t xml:space="preserve">human reach</t>
  </si>
  <si>
    <t xml:space="preserve">answered_h</t>
  </si>
  <si>
    <t xml:space="preserve">human answered calls per worked contact</t>
  </si>
  <si>
    <t xml:space="preserve">d_h</t>
  </si>
  <si>
    <t xml:space="preserve">human incremental renewals per due</t>
  </si>
  <si>
    <t xml:space="preserve">min_h</t>
  </si>
  <si>
    <t xml:space="preserve">human talk minutes per due</t>
  </si>
  <si>
    <t xml:space="preserve">human_cost_T</t>
  </si>
  <si>
    <t xml:space="preserve">desk cost per due, talk-minute method</t>
  </si>
  <si>
    <t xml:space="preserve">human_cost_S</t>
  </si>
  <si>
    <t xml:space="preserve">desk cost per due, seat method</t>
  </si>
  <si>
    <t xml:space="preserve">v</t>
  </si>
  <si>
    <t xml:space="preserve">commission per save, this year = c*P</t>
  </si>
  <si>
    <t xml:space="preserve">v_ltv</t>
  </si>
  <si>
    <t xml:space="preserve">3-year commission value</t>
  </si>
  <si>
    <t xml:space="preserve">vp_cost_launch</t>
  </si>
  <si>
    <t xml:space="preserve">VP cost per worked due at launch COGS</t>
  </si>
  <si>
    <t xml:space="preserve">vp_cost_scale</t>
  </si>
  <si>
    <t xml:space="preserve">VP cost per worked due at scale COGS</t>
  </si>
  <si>
    <t xml:space="preserve">renewals_ai</t>
  </si>
  <si>
    <t xml:space="preserve">renewal rate on AI-worked list</t>
  </si>
  <si>
    <t xml:space="preserve">fc_max_nocall</t>
  </si>
  <si>
    <t xml:space="preserve">buyer's max fee per renewal vs no calling</t>
  </si>
  <si>
    <t xml:space="preserve">fc_max_vs_desk_T</t>
  </si>
  <si>
    <t xml:space="preserve">buyer's max fee per renewal vs own desk (talk method)</t>
  </si>
  <si>
    <t xml:space="preserve">fc_max_vs_desk_S</t>
  </si>
  <si>
    <t xml:space="preserve">buyer's max fee per renewal vs own desk (seat method)</t>
  </si>
  <si>
    <t xml:space="preserve">fc_floor_launch</t>
  </si>
  <si>
    <t xml:space="preserve">VP min fee per renewal for gm_target at launch</t>
  </si>
  <si>
    <t xml:space="preserve">fs_floor_launch</t>
  </si>
  <si>
    <t xml:space="preserve">VP min fee per incremental save for gm_target at launch</t>
  </si>
  <si>
    <t xml:space="preserve">revenue_per_due</t>
  </si>
  <si>
    <t xml:space="preserve">VP revenue per worked due at the fee</t>
  </si>
  <si>
    <t xml:space="preserve">gm_launch</t>
  </si>
  <si>
    <t xml:space="preserve">VP gross margin at the fee, launch COGS</t>
  </si>
  <si>
    <t xml:space="preserve">gm_scale</t>
  </si>
  <si>
    <t xml:space="preserve">VP gross margin at the fee, 1M min/month COGS</t>
  </si>
  <si>
    <t xml:space="preserve">yield_per_min</t>
  </si>
  <si>
    <t xml:space="preserve">effective INR per AI-connected minute at the fee</t>
  </si>
  <si>
    <t xml:space="preserve">buyer_net_nocall_per_1000</t>
  </si>
  <si>
    <t xml:space="preserve">buyer net gain per 1,000 worked due vs no calling, INR</t>
  </si>
  <si>
    <t xml:space="preserve">kc1_due_per_month_3_seats_T</t>
  </si>
  <si>
    <t xml:space="preserve">due/month a 3-seat desk works (talk method)</t>
  </si>
  <si>
    <t xml:space="preserve">kc1_due_per_month_3_seats_S</t>
  </si>
  <si>
    <t xml:space="preserve">due/month a 3-seat desk works (seat method)</t>
  </si>
  <si>
    <t xml:space="preserve">VALUES from renewal_model.py (seed 20261017, n=20,000). Per 1,000 due where labelled.</t>
  </si>
  <si>
    <t xml:space="preserve">line</t>
  </si>
  <si>
    <t xml:space="preserve">metric</t>
  </si>
  <si>
    <t xml:space="preserve">p10</t>
  </si>
  <si>
    <t xml:space="preserve">p50</t>
  </si>
  <si>
    <t xml:space="preserve">p90</t>
  </si>
  <si>
    <t xml:space="preserve">mean</t>
  </si>
  <si>
    <t xml:space="preserve">value_per_save_inr</t>
  </si>
  <si>
    <t xml:space="preserve">value_per_save_3yr_ltv_inr</t>
  </si>
  <si>
    <t xml:space="preserve">baseline_renewal_rate</t>
  </si>
  <si>
    <t xml:space="preserve">incremental_renewals_ai_per_1000_due</t>
  </si>
  <si>
    <t xml:space="preserve">incremental_renewals_human_per_1000_due</t>
  </si>
  <si>
    <t xml:space="preserve">ai_reach_rpc</t>
  </si>
  <si>
    <t xml:space="preserve">ai_attempts_per_1000_due</t>
  </si>
  <si>
    <t xml:space="preserve">ai_connected_minutes_per_1000_due</t>
  </si>
  <si>
    <t xml:space="preserve">human_minutes_per_1000_due</t>
  </si>
  <si>
    <t xml:space="preserve">human_cost_inr_per_1000_due</t>
  </si>
  <si>
    <t xml:space="preserve">human_cost_inr_per_renewal_collected</t>
  </si>
  <si>
    <t xml:space="preserve">human_cost_inr_per_1000_due_seat_method</t>
  </si>
  <si>
    <t xml:space="preserve">human_cost_inr_per_renewal_collected_seat_method</t>
  </si>
  <si>
    <t xml:space="preserve">ai_minutes_per_renewal_collected</t>
  </si>
  <si>
    <t xml:space="preserve">vp_cost_inr_per_1000_worked_due_launch</t>
  </si>
  <si>
    <t xml:space="preserve">vp_cost_inr_per_1000_worked_due_scale</t>
  </si>
  <si>
    <t xml:space="preserve">vp_cost_inr_per_renewal_collected_launch</t>
  </si>
  <si>
    <t xml:space="preserve">vp_cost_inr_per_renewal_collected_scale</t>
  </si>
  <si>
    <t xml:space="preserve">vp_cost_inr_per_incremental_save_launch</t>
  </si>
  <si>
    <t xml:space="preserve">vp_cost_inr_per_incremental_save_scale</t>
  </si>
  <si>
    <t xml:space="preserve">buyer_max_fee_per_renewal_vs_nocall</t>
  </si>
  <si>
    <t xml:space="preserve">buyer_max_fee_per_renewal_vs_nocall_3yr_ltv</t>
  </si>
  <si>
    <t xml:space="preserve">buyer_max_fee_per_renewal_vs_human_desk</t>
  </si>
  <si>
    <t xml:space="preserve">buyer_max_fee_per_renewal_vs_human_desk_seat_method</t>
  </si>
  <si>
    <t xml:space="preserve">vp_min_fee_per_renewal_gm40_launch</t>
  </si>
  <si>
    <t xml:space="preserve">vp_min_fee_per_renewal_gm50_scale</t>
  </si>
  <si>
    <t xml:space="preserve">vp_min_fee_per_save_gm40_launch</t>
  </si>
  <si>
    <t xml:space="preserve">vp_min_fee_per_save_gm50_scale</t>
  </si>
  <si>
    <t xml:space="preserve">holdout_cost_inr_per_1000_due</t>
  </si>
  <si>
    <t xml:space="preserve">P(value_per_save &gt;= 150)</t>
  </si>
  <si>
    <t xml:space="preserve">P(window per-renewal fee exists vs no-call, launch GM40)</t>
  </si>
  <si>
    <t xml:space="preserve">P(window per-renewal fee exists vs no-call, scale GM50)</t>
  </si>
  <si>
    <t xml:space="preserve">P(window per-renewal fee exists vs human desk, launch GM40)</t>
  </si>
  <si>
    <t xml:space="preserve">P(window per-renewal fee exists vs human desk, scale GM50)</t>
  </si>
  <si>
    <t xml:space="preserve">P(AI incremental &gt; human incremental)</t>
  </si>
  <si>
    <t xml:space="preserve">P(VP cost per worked due &lt; human cost per due)</t>
  </si>
  <si>
    <t xml:space="preserve">P(VP cost per worked due &lt; human cost per due), scale</t>
  </si>
  <si>
    <t xml:space="preserve">P(VP cost per worked due &lt; human cost per due, seat method), launch</t>
  </si>
  <si>
    <t xml:space="preserve">VALUES from renewal_model.py: VP revenue, buyer gain and VP GM by fee and scheme.</t>
  </si>
  <si>
    <t xml:space="preserve">scheme</t>
  </si>
  <si>
    <t xml:space="preserve">fee_inr</t>
  </si>
  <si>
    <t xml:space="preserve">vp_revenue_per_1000_due_p50</t>
  </si>
  <si>
    <t xml:space="preserve">buyer_net_vs_nocall_per_1000_due_p50</t>
  </si>
  <si>
    <t xml:space="preserve">p_buyer_gains_vs_nocall</t>
  </si>
  <si>
    <t xml:space="preserve">p_buyer_gains_vs_human_desk</t>
  </si>
  <si>
    <t xml:space="preserve">p_buyer_gains_vs_human_desk_seat_method</t>
  </si>
  <si>
    <t xml:space="preserve">fee_as_share_of_commission_gain_p50</t>
  </si>
  <si>
    <t xml:space="preserve">yield_inr_per_ai_minute_p50</t>
  </si>
  <si>
    <t xml:space="preserve">vp_gm_p50_launch_100k</t>
  </si>
  <si>
    <t xml:space="preserve">p_gm_ge_40_launch_100k</t>
  </si>
  <si>
    <t xml:space="preserve">vp_gm_p50_scale_1M</t>
  </si>
  <si>
    <t xml:space="preserve">p_gm_ge_40_scale_1M</t>
  </si>
  <si>
    <t xml:space="preserve">per_renewal_collected</t>
  </si>
  <si>
    <t xml:space="preserve">per_incremental_save</t>
  </si>
  <si>
    <t xml:space="preserve">per_ai_minute_yield</t>
  </si>
  <si>
    <t xml:space="preserve">VALUES: buyer archetypes at the concept-test fees (archetype sizes are assumptions).</t>
  </si>
  <si>
    <t xml:space="preserve">buyer</t>
  </si>
  <si>
    <t xml:space="preserve">due_per_month</t>
  </si>
  <si>
    <t xml:space="preserve">mix</t>
  </si>
  <si>
    <t xml:space="preserve">vp_revenue_month_p50</t>
  </si>
  <si>
    <t xml:space="preserve">vp_revenue_trough_month_p50</t>
  </si>
  <si>
    <t xml:space="preserve">buyer_commission_gain_month_p50</t>
  </si>
  <si>
    <t xml:space="preserve">buyer_commission_gain_month_p10</t>
  </si>
  <si>
    <t xml:space="preserve">vp_gm_launch_p50</t>
  </si>
  <si>
    <t xml:space="preserve">vp_gm_scale_p50</t>
  </si>
  <si>
    <t xml:space="preserve">human_desk_seats_equivalent_p50</t>
  </si>
  <si>
    <t xml:space="preserve">human_desk_seats_seat_method_p50</t>
  </si>
  <si>
    <t xml:space="preserve">supports_min_25k_in_trough</t>
  </si>
  <si>
    <t xml:space="preserve">max_min_fee_at_50pct_of_gain_p50</t>
  </si>
  <si>
    <t xml:space="preserve">small_IMF_or_agency</t>
  </si>
  <si>
    <t xml:space="preserve">{"2W_motor": 0.5, "4W_motor": 0.2, "health": 0.2, "life_yr2plus": 0.1}</t>
  </si>
  <si>
    <t xml:space="preserve">False</t>
  </si>
  <si>
    <t xml:space="preserve">mid_retail_broker_or_CA</t>
  </si>
  <si>
    <t xml:space="preserve">{"2W_motor": 0.4, "4W_motor": 0.3, "health": 0.25, "life_yr2plus": 0.05}</t>
  </si>
  <si>
    <t xml:space="preserve">large_PoSP_platform</t>
  </si>
  <si>
    <t xml:space="preserve">{"2W_motor": 0.5, "4W_motor": 0.3, "health": 0.15, "life_yr2plus": 0.05}</t>
  </si>
  <si>
    <t xml:space="preserve">True</t>
  </si>
  <si>
    <t xml:space="preserve">VALUES: minimum detectable lift (pp) for a holdout, 80% power, alpha 0.05 two-sided.</t>
  </si>
  <si>
    <t xml:space="preserve">baseline</t>
  </si>
  <si>
    <t xml:space="preserve">mde_pp_one_month</t>
  </si>
  <si>
    <t xml:space="preserve">median_modelled_lift_pp</t>
  </si>
  <si>
    <t xml:space="preserve">months_to_detect_median_lift</t>
  </si>
  <si>
    <t xml:space="preserve">VALUES: Spearman rank correlation of each input with outputs at the concept-test fee.</t>
  </si>
  <si>
    <t xml:space="preserve">input</t>
  </si>
  <si>
    <t xml:space="preserve">rho_buyer_net_vs_desk</t>
  </si>
  <si>
    <t xml:space="preserve">rho_buyer_net_vs_nocall</t>
  </si>
  <si>
    <t xml:space="preserve">rho_vp_gm_launch</t>
  </si>
  <si>
    <t xml:space="preserve">cogs_launch_100k</t>
  </si>
  <si>
    <t xml:space="preserve">VALUES from expansion_sizing.py (seed 20261018): serviceable market by stage, INR crore/yr, as of 2026-10.</t>
  </si>
  <si>
    <t xml:space="preserve">stage</t>
  </si>
  <si>
    <t xml:space="preserve">as_of</t>
  </si>
  <si>
    <t xml:space="preserve">unit</t>
  </si>
  <si>
    <t xml:space="preserve">S0 beachhead: intermediaries' renewal books (per renewal)</t>
  </si>
  <si>
    <t xml:space="preserve">2026-10</t>
  </si>
  <si>
    <t xml:space="preserve">INR crore / yr</t>
  </si>
  <si>
    <t xml:space="preserve">S0 excluding the largest broker/PoSP platforms (in-house renewal ops)</t>
  </si>
  <si>
    <t xml:space="preserve">S1 insurers' renewal desks ex-LIC (per renewal, insurer fees)</t>
  </si>
  <si>
    <t xml:space="preserve">S2 other BFSI 1600 service calls, mid-market (per minute)</t>
  </si>
  <si>
    <t xml:space="preserve">S3 rest of post-sales outside BFSI (l3, haircut)</t>
  </si>
  <si>
    <t xml:space="preserve">S0+S1 at per-minute list prices (cross-check)</t>
  </si>
  <si>
    <t xml:space="preserve">LIC renewal book at per-minute prices (not serviceable; context)</t>
  </si>
  <si>
    <t xml:space="preserve">All insurance renewal calling incl. LIC, per minute (ceiling)</t>
  </si>
  <si>
    <t xml:space="preserve">Cumulative S0..S3 after the beachhead</t>
  </si>
  <si>
    <t xml:space="preserve">l3 total SAM, all 19 segments (round 1, unhaircut)</t>
  </si>
  <si>
    <t xml:space="preserve">VALUES: corrected direction of the TRAI 1600/140 comparison (l3v section 7).</t>
  </si>
  <si>
    <t xml:space="preserve">comparison</t>
  </si>
  <si>
    <t xml:space="preserve">ratio_p10</t>
  </si>
  <si>
    <t xml:space="preserve">ratio_p50</t>
  </si>
  <si>
    <t xml:space="preserve">ratio_p90</t>
  </si>
  <si>
    <t xml:space="preserve">p_ratio_gt_1</t>
  </si>
  <si>
    <t xml:space="preserve">reading</t>
  </si>
  <si>
    <t xml:space="preserve">l3 as published: bottom-up BFSI post-sales minutes / ALL national 1600 minutes</t>
  </si>
  <si>
    <t xml:space="preserve">subset over total; must be &lt; 1 if in-reach calls run on 1600</t>
  </si>
  <si>
    <t xml:space="preserve">corrected: bottom-up BFSI post-sales minutes / (1600 minutes x in-reach share)</t>
  </si>
  <si>
    <t xml:space="preserve">&gt; 1 means the bottom-up seat model is high OR in-reach calling runs off-series (10-digit)</t>
  </si>
  <si>
    <t xml:space="preserve">corrected: bottom-up insurance-renewal minutes / (1600 minutes x insurance share x in-reach share)</t>
  </si>
  <si>
    <t xml:space="preserve">IRDAI entities had to be on 1600 from 2026-02-15; Q1 FY27 is after the deadline</t>
  </si>
  <si>
    <t xml:space="preserve">l3 as published: bottom-up pre-sales minutes / ALL 140 minutes (originated)</t>
  </si>
  <si>
    <t xml:space="preserve">subset over total</t>
  </si>
  <si>
    <t xml:space="preserve">corrected: bottom-up pre-sales minutes / (delivered 140 minutes x in-reach share)</t>
  </si>
  <si>
    <t xml:space="preserve">uses 11.68 bn delivered calls/qtr, not 13.16 bn originated</t>
  </si>
  <si>
    <t xml:space="preserve">context: AI-flagged suspected-spam calls per quarter (10-digit series)</t>
  </si>
  <si>
    <t xml:space="preserve">22.99 bn/qtr vs 1.15 bn 1600 and 13.16 bn 140 [prim PR 111/2026]</t>
  </si>
  <si>
    <t xml:space="preserve">VALUES: incumbent revenue (MCA via press = read-secondary) x assumed voice-agent share.</t>
  </si>
  <si>
    <t xml:space="preserve">company</t>
  </si>
  <si>
    <t xml:space="preserve">fy</t>
  </si>
  <si>
    <t xml:space="preserve">revenue_cr_low</t>
  </si>
  <si>
    <t xml:space="preserve">revenue_cr_high</t>
  </si>
  <si>
    <t xml:space="preserve">voice_agent_share_low</t>
  </si>
  <si>
    <t xml:space="preserve">voice_agent_share_mode</t>
  </si>
  <si>
    <t xml:space="preserve">voice_agent_share_high</t>
  </si>
  <si>
    <t xml:space="preserve">implied_voice_agent_rev_cr_p50</t>
  </si>
  <si>
    <t xml:space="preserve">source</t>
  </si>
  <si>
    <t xml:space="preserve">method</t>
  </si>
  <si>
    <t xml:space="preserve">note</t>
  </si>
  <si>
    <t xml:space="preserve">Exotel</t>
  </si>
  <si>
    <t xml:space="preserve">FY25</t>
  </si>
  <si>
    <t xml:space="preserve">Entrackr/MediaNama RoC 2026-01 (l4a, l4c)</t>
  </si>
  <si>
    <t xml:space="preserve">read-secondary (MCA via press) x assumption share</t>
  </si>
  <si>
    <t xml:space="preserve">CPaaS; telephony cost 212 Cr = 44% of costs; voicebot/AgentStream share unknown</t>
  </si>
  <si>
    <t xml:space="preserve">Gnani.ai</t>
  </si>
  <si>
    <t xml:space="preserve">Inc42 / Entrepreneur (l4a)</t>
  </si>
  <si>
    <t xml:space="preserve">voice AI + speech analytics; some non-India revenue</t>
  </si>
  <si>
    <t xml:space="preserve">Sarvam AI</t>
  </si>
  <si>
    <t xml:space="preserve">Inc42 from MCA (l4a)</t>
  </si>
  <si>
    <t xml:space="preserve">models/APIs/enterprise/government; voice agents a part</t>
  </si>
  <si>
    <t xml:space="preserve">SquadStack</t>
  </si>
  <si>
    <t xml:space="preserve">FY24</t>
  </si>
  <si>
    <t xml:space="preserve">Inc42 (l4a)</t>
  </si>
  <si>
    <t xml:space="preserve">human + AI telecalling; AI share unknown; FY24 down 50%</t>
  </si>
  <si>
    <t xml:space="preserve">Yellow.ai</t>
  </si>
  <si>
    <t xml:space="preserve">global CX automation; voice x India-domestic share</t>
  </si>
  <si>
    <t xml:space="preserve">Haptik</t>
  </si>
  <si>
    <t xml:space="preserve">lapaasvoice (unverified) / Inc42 FY24 (l4a)</t>
  </si>
  <si>
    <t xml:space="preserve">Jio-group heavy; chat-first</t>
  </si>
  <si>
    <t xml:space="preserve">Ozonetel</t>
  </si>
  <si>
    <t xml:space="preserve">cloud contact centre; AI bot share unknown</t>
  </si>
  <si>
    <t xml:space="preserve">Knowlarity (Gupshup)</t>
  </si>
  <si>
    <t xml:space="preserve">Inc42 (l4c)</t>
  </si>
  <si>
    <t xml:space="preserve">cloud telephony</t>
  </si>
  <si>
    <t xml:space="preserve">Uniphore (India entity)</t>
  </si>
  <si>
    <t xml:space="preserve">global; India entity largely serves global work</t>
  </si>
  <si>
    <t xml:space="preserve">LeadSquared</t>
  </si>
  <si>
    <t xml:space="preserve">Entrackr RoC 2025-10 (l4c)</t>
  </si>
  <si>
    <t xml:space="preserve">CRM; Invorto voice AI new</t>
  </si>
  <si>
    <t xml:space="preserve">Bolna</t>
  </si>
  <si>
    <t xml:space="preserve">run-rate Jan 2026</t>
  </si>
  <si>
    <t xml:space="preserve">Inc42 Jan 2026 (l4a)</t>
  </si>
  <si>
    <t xml:space="preserve">~0.5 Cr/month run-rate</t>
  </si>
  <si>
    <t xml:space="preserve">Ringg AI</t>
  </si>
  <si>
    <t xml:space="preserve">smallest.ai (India entity)</t>
  </si>
  <si>
    <t xml:space="preserve">parent books US revenue</t>
  </si>
  <si>
    <t xml:space="preserve">Convin</t>
  </si>
  <si>
    <t xml:space="preserve">QA/analytics, not agents</t>
  </si>
  <si>
    <t xml:space="preserve">TOTAL implied Indian voice-agent revenue (FY24-26 mix)</t>
  </si>
  <si>
    <t xml:space="preserve">mixed</t>
  </si>
  <si>
    <t xml:space="preserve">sum of rows</t>
  </si>
  <si>
    <t xml:space="preserve">computed</t>
  </si>
  <si>
    <t xml:space="preserve">p10 132 / p90 165 Cr</t>
  </si>
  <si>
    <t xml:space="preserve">Implied AI penetration of l3 total SAM (revenue / SAM)</t>
  </si>
  <si>
    <t xml:space="preserve">computed (percent)</t>
  </si>
  <si>
    <t xml:space="preserve">p10 0.71% / p90 2.92%</t>
  </si>
  <si>
    <t xml:space="preserve">Gnani+SquadStack voice revenue vs l3 insurance-renewal SAM (ratio)</t>
  </si>
  <si>
    <t xml:space="preserve">not computable: neither discloses an insurance-renewal revenue split; both sell mainly to insurers, not intermediaries</t>
  </si>
  <si>
    <t xml:space="preserve">VALUES: IRDAI Handbook 2024-25 tables T44, T50, T99, T103, T104 (extract_irdai_handbook.py).</t>
  </si>
  <si>
    <t xml:space="preserve">table</t>
  </si>
  <si>
    <t xml:space="preserve">year</t>
  </si>
  <si>
    <t xml:space="preserve">segment</t>
  </si>
  <si>
    <t xml:space="preserve">channel</t>
  </si>
  <si>
    <t xml:space="preserve">T103</t>
  </si>
  <si>
    <t xml:space="preserve">2024-25</t>
  </si>
  <si>
    <t xml:space="preserve">Motor Own Damage</t>
  </si>
  <si>
    <t xml:space="preserve">Individual Agents</t>
  </si>
  <si>
    <t xml:space="preserve">gross_direct_premium_inr_cr</t>
  </si>
  <si>
    <t xml:space="preserve">Corporate Agents - Banks</t>
  </si>
  <si>
    <t xml:space="preserve">Corporate Agents - Others</t>
  </si>
  <si>
    <t xml:space="preserve">Brokers</t>
  </si>
  <si>
    <t xml:space="preserve">Referral Arrangements</t>
  </si>
  <si>
    <t xml:space="preserve">Direct Business</t>
  </si>
  <si>
    <t xml:space="preserve">Micro Insurance Agents</t>
  </si>
  <si>
    <t xml:space="preserve">Others</t>
  </si>
  <si>
    <t xml:space="preserve">Total</t>
  </si>
  <si>
    <t xml:space="preserve">Motor Third Party</t>
  </si>
  <si>
    <t xml:space="preserve">Grand Total</t>
  </si>
  <si>
    <t xml:space="preserve">T104</t>
  </si>
  <si>
    <t xml:space="preserve">health_individual</t>
  </si>
  <si>
    <t xml:space="preserve">policies</t>
  </si>
  <si>
    <t xml:space="preserve">gross_premium_inr_cr</t>
  </si>
  <si>
    <t xml:space="preserve">avg_premium_per_policy_inr</t>
  </si>
  <si>
    <t xml:space="preserve">Corporate Agent - Banks</t>
  </si>
  <si>
    <t xml:space="preserve">Corporate Agent - Other than Banks</t>
  </si>
  <si>
    <t xml:space="preserve">Direct Sale - Online</t>
  </si>
  <si>
    <t xml:space="preserve">Direct Sale - Other than Online</t>
  </si>
  <si>
    <t xml:space="preserve">Micro-insurance Agents</t>
  </si>
  <si>
    <t xml:space="preserve">Web- aggregators</t>
  </si>
  <si>
    <t xml:space="preserve">Insurance Marketing Firms</t>
  </si>
  <si>
    <t xml:space="preserve">Point of Sales</t>
  </si>
  <si>
    <t xml:space="preserve">Common Service Centers</t>
  </si>
  <si>
    <t xml:space="preserve">T99</t>
  </si>
  <si>
    <t xml:space="preserve">life_individual_new_business</t>
  </si>
  <si>
    <t xml:space="preserve">premium_inr_cr</t>
  </si>
  <si>
    <t xml:space="preserve">avg_nb_premium_per_policy_inr_incl_single</t>
  </si>
  <si>
    <t xml:space="preserve">Corporate Agents-Banks</t>
  </si>
  <si>
    <t xml:space="preserve">Corporate Agents- Others*</t>
  </si>
  <si>
    <t xml:space="preserve">Direct Selling</t>
  </si>
  <si>
    <t xml:space="preserve">MI Agents</t>
  </si>
  <si>
    <t xml:space="preserve">Common Service Centres (CSCs)</t>
  </si>
  <si>
    <t xml:space="preserve">Web-Aggregators</t>
  </si>
  <si>
    <t xml:space="preserve">IMF</t>
  </si>
  <si>
    <t xml:space="preserve">Online**</t>
  </si>
  <si>
    <t xml:space="preserve">Others if any</t>
  </si>
  <si>
    <t xml:space="preserve">Referrals</t>
  </si>
  <si>
    <t xml:space="preserve">T50</t>
  </si>
  <si>
    <t xml:space="preserve">all_lines</t>
  </si>
  <si>
    <t xml:space="preserve">National</t>
  </si>
  <si>
    <t xml:space="preserve">net_commission_over_net_premium_earned</t>
  </si>
  <si>
    <t xml:space="preserve">New India</t>
  </si>
  <si>
    <t xml:space="preserve">Oriental</t>
  </si>
  <si>
    <t xml:space="preserve">United India</t>
  </si>
  <si>
    <t xml:space="preserve">Public Sector Insurers Total</t>
  </si>
  <si>
    <t xml:space="preserve">Acko General</t>
  </si>
  <si>
    <t xml:space="preserve">Bajaj Allianz</t>
  </si>
  <si>
    <t xml:space="preserve">Cholamandalam</t>
  </si>
  <si>
    <t xml:space="preserve">Future Generali</t>
  </si>
  <si>
    <t xml:space="preserve">Go Digit</t>
  </si>
  <si>
    <t xml:space="preserve">HDFC ERGO</t>
  </si>
  <si>
    <t xml:space="preserve">ICICI Lombard</t>
  </si>
  <si>
    <t xml:space="preserve">IFFCO Tokio</t>
  </si>
  <si>
    <t xml:space="preserve">Zurich Kotak$$</t>
  </si>
  <si>
    <t xml:space="preserve">Kshema</t>
  </si>
  <si>
    <t xml:space="preserve">Liberty General</t>
  </si>
  <si>
    <t xml:space="preserve">Magma HDI</t>
  </si>
  <si>
    <t xml:space="preserve">NAVI</t>
  </si>
  <si>
    <t xml:space="preserve">Raheja QBE</t>
  </si>
  <si>
    <t xml:space="preserve">Reliance</t>
  </si>
  <si>
    <t xml:space="preserve">Royal Sundaram</t>
  </si>
  <si>
    <t xml:space="preserve">SBI General</t>
  </si>
  <si>
    <t xml:space="preserve">Shriram</t>
  </si>
  <si>
    <t xml:space="preserve">Tata AIG</t>
  </si>
  <si>
    <t xml:space="preserve">Universal Sompo</t>
  </si>
  <si>
    <t xml:space="preserve">Zuno General$</t>
  </si>
  <si>
    <t xml:space="preserve">Private Sector Insurers Total</t>
  </si>
  <si>
    <t xml:space="preserve">health(misc)</t>
  </si>
  <si>
    <t xml:space="preserve">Aditya Birla</t>
  </si>
  <si>
    <t xml:space="preserve">Care Health</t>
  </si>
  <si>
    <t xml:space="preserve">ManipalCigna</t>
  </si>
  <si>
    <t xml:space="preserve">Narayana Health%</t>
  </si>
  <si>
    <t xml:space="preserve">Galaxy Health%</t>
  </si>
  <si>
    <t xml:space="preserve">Niva Bupa</t>
  </si>
  <si>
    <t xml:space="preserve">Star Health</t>
  </si>
  <si>
    <t xml:space="preserve">Stand-alone Health Insurers Total</t>
  </si>
  <si>
    <t xml:space="preserve">AIC</t>
  </si>
  <si>
    <t xml:space="preserve">ECGC</t>
  </si>
  <si>
    <t xml:space="preserve">Specialized Insurers Total</t>
  </si>
  <si>
    <t xml:space="preserve">T44</t>
  </si>
  <si>
    <t xml:space="preserve">motor</t>
  </si>
  <si>
    <t xml:space="preserve">incurred_claims_ratio_pct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</si>
</sst>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4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8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2" t="n">
        <v>1500</v>
      </c>
      <c r="D2" s="2" t="n">
        <v>11000</v>
      </c>
      <c r="E2" s="2" t="n">
        <v>17000</v>
      </c>
      <c r="F2" s="2" t="n">
        <v>30000</v>
      </c>
      <c r="G2" s="3" t="s">
        <v>17</v>
      </c>
      <c r="H2" s="3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  <c r="C3" s="2" t="n">
        <v>0.15</v>
      </c>
      <c r="D3" s="2" t="n">
        <v>0.18</v>
      </c>
      <c r="E3" s="2" t="n">
        <v>0.15</v>
      </c>
      <c r="F3" s="2" t="n">
        <v>0.05</v>
      </c>
      <c r="G3" s="3" t="s">
        <v>21</v>
      </c>
      <c r="H3" s="3" t="s">
        <v>18</v>
      </c>
    </row>
    <row r="4" customFormat="false" ht="15" hidden="false" customHeight="false" outlineLevel="0" collapsed="false">
      <c r="A4" s="0" t="s">
        <v>22</v>
      </c>
      <c r="B4" s="0" t="s">
        <v>23</v>
      </c>
      <c r="C4" s="2" t="n">
        <v>0.45</v>
      </c>
      <c r="D4" s="2" t="n">
        <v>0.6</v>
      </c>
      <c r="E4" s="2" t="n">
        <v>0.84</v>
      </c>
      <c r="F4" s="2" t="n">
        <v>0.8</v>
      </c>
      <c r="G4" s="3" t="s">
        <v>24</v>
      </c>
      <c r="H4" s="3" t="s">
        <v>18</v>
      </c>
    </row>
    <row r="5" customFormat="false" ht="15" hidden="false" customHeight="false" outlineLevel="0" collapsed="false">
      <c r="A5" s="0" t="s">
        <v>25</v>
      </c>
      <c r="B5" s="0" t="s">
        <v>26</v>
      </c>
      <c r="C5" s="2" t="n">
        <v>0.25</v>
      </c>
      <c r="D5" s="2" t="n">
        <v>0.2</v>
      </c>
      <c r="E5" s="2" t="n">
        <v>0.3</v>
      </c>
      <c r="F5" s="2" t="n">
        <v>0.3</v>
      </c>
      <c r="G5" s="3" t="s">
        <v>27</v>
      </c>
      <c r="H5" s="3" t="s">
        <v>18</v>
      </c>
    </row>
    <row r="6" customFormat="false" ht="15" hidden="false" customHeight="false" outlineLevel="0" collapsed="false">
      <c r="A6" s="0" t="s">
        <v>28</v>
      </c>
      <c r="B6" s="0" t="s">
        <v>29</v>
      </c>
      <c r="C6" s="2" t="n">
        <v>0.3</v>
      </c>
      <c r="D6" s="2" t="n">
        <v>0.8</v>
      </c>
      <c r="E6" s="2" t="n">
        <v>0.8</v>
      </c>
      <c r="F6" s="2" t="n">
        <v>0.8</v>
      </c>
      <c r="G6" s="3" t="s">
        <v>30</v>
      </c>
      <c r="H6" s="3" t="s">
        <v>18</v>
      </c>
    </row>
    <row r="7" customFormat="false" ht="15" hidden="false" customHeight="false" outlineLevel="0" collapsed="false">
      <c r="A7" s="0" t="s">
        <v>31</v>
      </c>
      <c r="B7" s="0" t="s">
        <v>32</v>
      </c>
      <c r="C7" s="2" t="n">
        <v>0.25</v>
      </c>
      <c r="D7" s="2" t="n">
        <v>0.25</v>
      </c>
      <c r="E7" s="2" t="n">
        <v>0.2</v>
      </c>
      <c r="F7" s="2" t="n">
        <v>0.2</v>
      </c>
      <c r="G7" s="3" t="s">
        <v>33</v>
      </c>
      <c r="H7" s="3" t="s">
        <v>18</v>
      </c>
    </row>
    <row r="8" customFormat="false" ht="15" hidden="false" customHeight="false" outlineLevel="0" collapsed="false">
      <c r="A8" s="0" t="s">
        <v>34</v>
      </c>
      <c r="B8" s="0" t="s">
        <v>35</v>
      </c>
      <c r="C8" s="2" t="n">
        <v>1.6</v>
      </c>
      <c r="D8" s="2" t="n">
        <v>2.5</v>
      </c>
      <c r="E8" s="2" t="n">
        <v>2</v>
      </c>
      <c r="F8" s="2" t="n">
        <v>2.5</v>
      </c>
      <c r="G8" s="3" t="s">
        <v>36</v>
      </c>
      <c r="H8" s="3" t="s">
        <v>18</v>
      </c>
    </row>
    <row r="9" customFormat="false" ht="15" hidden="false" customHeight="false" outlineLevel="0" collapsed="false">
      <c r="A9" s="0" t="s">
        <v>37</v>
      </c>
      <c r="B9" s="0" t="s">
        <v>38</v>
      </c>
      <c r="C9" s="2" t="n">
        <v>0.55</v>
      </c>
      <c r="D9" s="2" t="n">
        <v>0.65</v>
      </c>
      <c r="E9" s="2" t="n">
        <v>0.87</v>
      </c>
      <c r="F9" s="2" t="n">
        <v>0.9</v>
      </c>
      <c r="G9" s="3" t="s">
        <v>39</v>
      </c>
      <c r="H9" s="3" t="s">
        <v>18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2" t="n">
        <v>0.8</v>
      </c>
      <c r="D10" s="2" t="n">
        <v>0.8</v>
      </c>
      <c r="E10" s="2" t="n">
        <v>0.92</v>
      </c>
      <c r="F10" s="2" t="n">
        <v>0.7</v>
      </c>
      <c r="G10" s="3" t="s">
        <v>42</v>
      </c>
      <c r="H10" s="3" t="s">
        <v>18</v>
      </c>
    </row>
    <row r="12" customFormat="false" ht="15" hidden="false" customHeight="false" outlineLevel="0" collapsed="false">
      <c r="A12" s="1" t="s">
        <v>43</v>
      </c>
      <c r="B12" s="1" t="s">
        <v>8</v>
      </c>
      <c r="C12" s="1" t="s">
        <v>44</v>
      </c>
      <c r="D12" s="1"/>
      <c r="E12" s="1"/>
      <c r="F12" s="1"/>
      <c r="G12" s="1" t="s">
        <v>13</v>
      </c>
      <c r="H12" s="1" t="s">
        <v>14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2" t="n">
        <v>0.42</v>
      </c>
      <c r="G13" s="3" t="s">
        <v>47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2" t="n">
        <v>0.88</v>
      </c>
      <c r="G14" s="3" t="s">
        <v>50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2" t="n">
        <v>0.88</v>
      </c>
      <c r="G15" s="3" t="s">
        <v>50</v>
      </c>
    </row>
    <row r="16" customFormat="false" ht="15" hidden="false" customHeight="false" outlineLevel="0" collapsed="false">
      <c r="A16" s="0" t="s">
        <v>53</v>
      </c>
      <c r="B16" s="0" t="s">
        <v>54</v>
      </c>
      <c r="C16" s="2" t="n">
        <v>0.9</v>
      </c>
      <c r="G16" s="3" t="s">
        <v>55</v>
      </c>
    </row>
    <row r="17" customFormat="false" ht="15" hidden="false" customHeight="false" outlineLevel="0" collapsed="false">
      <c r="A17" s="0" t="s">
        <v>56</v>
      </c>
      <c r="B17" s="0" t="s">
        <v>57</v>
      </c>
      <c r="C17" s="2" t="n">
        <v>0.8</v>
      </c>
      <c r="G17" s="3" t="s">
        <v>58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2" t="n">
        <v>0.4</v>
      </c>
      <c r="G18" s="3" t="s">
        <v>61</v>
      </c>
    </row>
    <row r="19" customFormat="false" ht="15" hidden="false" customHeight="false" outlineLevel="0" collapsed="false">
      <c r="A19" s="0" t="s">
        <v>62</v>
      </c>
      <c r="B19" s="0" t="s">
        <v>63</v>
      </c>
      <c r="C19" s="2" t="n">
        <v>0.6</v>
      </c>
      <c r="G19" s="3" t="s">
        <v>64</v>
      </c>
    </row>
    <row r="20" customFormat="false" ht="15" hidden="false" customHeight="false" outlineLevel="0" collapsed="false">
      <c r="A20" s="0" t="s">
        <v>65</v>
      </c>
      <c r="B20" s="0" t="s">
        <v>66</v>
      </c>
      <c r="C20" s="2" t="n">
        <v>2</v>
      </c>
      <c r="G20" s="3" t="s">
        <v>67</v>
      </c>
    </row>
    <row r="21" customFormat="false" ht="15" hidden="false" customHeight="false" outlineLevel="0" collapsed="false">
      <c r="A21" s="0" t="s">
        <v>68</v>
      </c>
      <c r="B21" s="0" t="s">
        <v>69</v>
      </c>
      <c r="C21" s="2" t="n">
        <v>0.03</v>
      </c>
      <c r="G21" s="3" t="s">
        <v>70</v>
      </c>
    </row>
    <row r="22" customFormat="false" ht="15" hidden="false" customHeight="false" outlineLevel="0" collapsed="false">
      <c r="A22" s="0" t="s">
        <v>71</v>
      </c>
      <c r="B22" s="0" t="s">
        <v>72</v>
      </c>
      <c r="C22" s="2" t="n">
        <v>0.12</v>
      </c>
      <c r="G22" s="3" t="s">
        <v>73</v>
      </c>
    </row>
    <row r="23" customFormat="false" ht="15" hidden="false" customHeight="false" outlineLevel="0" collapsed="false">
      <c r="A23" s="0" t="s">
        <v>74</v>
      </c>
      <c r="B23" s="0" t="s">
        <v>75</v>
      </c>
      <c r="C23" s="2" t="n">
        <v>3.5</v>
      </c>
      <c r="G23" s="3" t="s">
        <v>76</v>
      </c>
    </row>
    <row r="24" customFormat="false" ht="15" hidden="false" customHeight="false" outlineLevel="0" collapsed="false">
      <c r="A24" s="0" t="s">
        <v>77</v>
      </c>
      <c r="B24" s="0" t="s">
        <v>78</v>
      </c>
      <c r="C24" s="2" t="n">
        <v>6.3</v>
      </c>
      <c r="G24" s="3" t="s">
        <v>79</v>
      </c>
    </row>
    <row r="25" customFormat="false" ht="15" hidden="false" customHeight="false" outlineLevel="0" collapsed="false">
      <c r="A25" s="0" t="s">
        <v>80</v>
      </c>
      <c r="B25" s="0" t="s">
        <v>81</v>
      </c>
      <c r="C25" s="2" t="n">
        <v>7.5</v>
      </c>
      <c r="G25" s="3" t="s">
        <v>82</v>
      </c>
    </row>
    <row r="26" customFormat="false" ht="15" hidden="false" customHeight="false" outlineLevel="0" collapsed="false">
      <c r="A26" s="0" t="s">
        <v>83</v>
      </c>
      <c r="B26" s="0" t="s">
        <v>84</v>
      </c>
      <c r="C26" s="2" t="n">
        <v>2</v>
      </c>
      <c r="G26" s="3" t="s">
        <v>85</v>
      </c>
    </row>
    <row r="27" customFormat="false" ht="15" hidden="false" customHeight="false" outlineLevel="0" collapsed="false">
      <c r="A27" s="0" t="s">
        <v>86</v>
      </c>
      <c r="B27" s="0" t="s">
        <v>87</v>
      </c>
      <c r="C27" s="2" t="n">
        <v>28000</v>
      </c>
      <c r="G27" s="3" t="s">
        <v>88</v>
      </c>
    </row>
    <row r="28" customFormat="false" ht="15" hidden="false" customHeight="false" outlineLevel="0" collapsed="false">
      <c r="A28" s="0" t="s">
        <v>89</v>
      </c>
      <c r="B28" s="0" t="s">
        <v>90</v>
      </c>
      <c r="C28" s="2" t="n">
        <v>1500</v>
      </c>
      <c r="G28" s="3" t="s">
        <v>91</v>
      </c>
    </row>
    <row r="29" customFormat="false" ht="15" hidden="false" customHeight="false" outlineLevel="0" collapsed="false">
      <c r="A29" s="0" t="s">
        <v>92</v>
      </c>
      <c r="B29" s="0" t="s">
        <v>93</v>
      </c>
      <c r="C29" s="2" t="n">
        <v>0.1</v>
      </c>
      <c r="G29" s="3" t="s">
        <v>94</v>
      </c>
    </row>
    <row r="30" customFormat="false" ht="15" hidden="false" customHeight="false" outlineLevel="0" collapsed="false">
      <c r="A30" s="0" t="s">
        <v>95</v>
      </c>
      <c r="B30" s="0" t="s">
        <v>96</v>
      </c>
      <c r="C30" s="2" t="n">
        <v>4</v>
      </c>
    </row>
    <row r="31" customFormat="false" ht="15" hidden="false" customHeight="false" outlineLevel="0" collapsed="false">
      <c r="A31" s="0" t="s">
        <v>97</v>
      </c>
      <c r="B31" s="0" t="s">
        <v>98</v>
      </c>
      <c r="C31" s="2" t="n">
        <v>2</v>
      </c>
    </row>
    <row r="32" customFormat="false" ht="15" hidden="false" customHeight="false" outlineLevel="0" collapsed="false">
      <c r="A32" s="0" t="s">
        <v>99</v>
      </c>
      <c r="B32" s="0" t="s">
        <v>100</v>
      </c>
      <c r="C32" s="2" t="n">
        <v>5.88</v>
      </c>
    </row>
    <row r="33" customFormat="false" ht="15" hidden="false" customHeight="false" outlineLevel="0" collapsed="false">
      <c r="A33" s="0" t="s">
        <v>101</v>
      </c>
      <c r="B33" s="0" t="s">
        <v>102</v>
      </c>
      <c r="C33" s="2" t="n">
        <v>3.06</v>
      </c>
    </row>
    <row r="34" customFormat="false" ht="15" hidden="false" customHeight="false" outlineLevel="0" collapsed="false">
      <c r="A34" s="0" t="s">
        <v>103</v>
      </c>
      <c r="B34" s="0" t="s">
        <v>104</v>
      </c>
      <c r="C34" s="2" t="n">
        <v>0.115</v>
      </c>
    </row>
    <row r="35" customFormat="false" ht="15" hidden="false" customHeight="false" outlineLevel="0" collapsed="false">
      <c r="A35" s="0" t="s">
        <v>105</v>
      </c>
      <c r="B35" s="0" t="s">
        <v>106</v>
      </c>
      <c r="C35" s="2" t="n">
        <v>0.1</v>
      </c>
    </row>
    <row r="36" customFormat="false" ht="15" hidden="false" customHeight="false" outlineLevel="0" collapsed="false">
      <c r="A36" s="0" t="s">
        <v>107</v>
      </c>
      <c r="B36" s="0" t="s">
        <v>108</v>
      </c>
      <c r="C36" s="2" t="n">
        <v>0.12</v>
      </c>
    </row>
    <row r="37" customFormat="false" ht="15" hidden="false" customHeight="false" outlineLevel="0" collapsed="false">
      <c r="A37" s="0" t="s">
        <v>109</v>
      </c>
      <c r="B37" s="0" t="s">
        <v>110</v>
      </c>
      <c r="C37" s="2" t="n">
        <v>0.4</v>
      </c>
    </row>
    <row r="38" customFormat="false" ht="15" hidden="false" customHeight="false" outlineLevel="0" collapsed="false">
      <c r="A38" s="0" t="s">
        <v>111</v>
      </c>
      <c r="B38" s="0" t="s">
        <v>112</v>
      </c>
      <c r="C38" s="2" t="n">
        <v>4800</v>
      </c>
    </row>
    <row r="40" customFormat="false" ht="15" hidden="false" customHeight="false" outlineLevel="0" collapsed="false">
      <c r="A40" s="0" t="s">
        <v>113</v>
      </c>
      <c r="B40" s="0" t="s">
        <v>114</v>
      </c>
      <c r="C40" s="2" t="n">
        <v>20</v>
      </c>
      <c r="D40" s="2" t="n">
        <v>50</v>
      </c>
      <c r="E40" s="2" t="n">
        <v>15</v>
      </c>
      <c r="F40" s="2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6" min="3" style="0" width="16"/>
  </cols>
  <sheetData>
    <row r="1" customFormat="false" ht="15" hidden="false" customHeight="false" outlineLevel="0" collapsed="false">
      <c r="A1" s="1" t="s">
        <v>115</v>
      </c>
      <c r="B1" s="1" t="s">
        <v>116</v>
      </c>
      <c r="C1" s="1" t="s">
        <v>9</v>
      </c>
      <c r="D1" s="1" t="s">
        <v>10</v>
      </c>
      <c r="E1" s="1" t="s">
        <v>11</v>
      </c>
      <c r="F1" s="1" t="s">
        <v>12</v>
      </c>
    </row>
    <row r="2" customFormat="false" ht="15" hidden="false" customHeight="false" outlineLevel="0" collapsed="false">
      <c r="A2" s="0" t="s">
        <v>117</v>
      </c>
      <c r="B2" s="0" t="s">
        <v>118</v>
      </c>
      <c r="C2" s="0" t="n">
        <f aca="false">1-Inputs!C4</f>
        <v>0.55</v>
      </c>
      <c r="D2" s="0" t="n">
        <f aca="false">1-Inputs!D4</f>
        <v>0.4</v>
      </c>
      <c r="E2" s="0" t="n">
        <f aca="false">1-Inputs!E4</f>
        <v>0.16</v>
      </c>
      <c r="F2" s="0" t="n">
        <f aca="false">1-Inputs!F4</f>
        <v>0.2</v>
      </c>
    </row>
    <row r="3" customFormat="false" ht="15" hidden="false" customHeight="false" outlineLevel="0" collapsed="false">
      <c r="A3" s="0" t="s">
        <v>119</v>
      </c>
      <c r="B3" s="0" t="s">
        <v>120</v>
      </c>
      <c r="C3" s="0" t="n">
        <f aca="false">1-Inputs!C4*Inputs!C5</f>
        <v>0.8875</v>
      </c>
      <c r="D3" s="0" t="n">
        <f aca="false">1-Inputs!D4*Inputs!D5</f>
        <v>0.88</v>
      </c>
      <c r="E3" s="0" t="n">
        <f aca="false">1-Inputs!E4*Inputs!E5</f>
        <v>0.748</v>
      </c>
      <c r="F3" s="0" t="n">
        <f aca="false">1-Inputs!F4*Inputs!F5</f>
        <v>0.76</v>
      </c>
    </row>
    <row r="4" customFormat="false" ht="15" hidden="false" customHeight="false" outlineLevel="0" collapsed="false">
      <c r="A4" s="0" t="s">
        <v>121</v>
      </c>
      <c r="B4" s="0" t="s">
        <v>122</v>
      </c>
      <c r="C4" s="0" t="n">
        <f aca="false">C2/C3</f>
        <v>0.619718309859155</v>
      </c>
      <c r="D4" s="0" t="n">
        <f aca="false">D2/D3</f>
        <v>0.454545454545455</v>
      </c>
      <c r="E4" s="0" t="n">
        <f aca="false">E2/E3</f>
        <v>0.213903743315508</v>
      </c>
      <c r="F4" s="0" t="n">
        <f aca="false">F2/F3</f>
        <v>0.263157894736842</v>
      </c>
    </row>
    <row r="5" customFormat="false" ht="15" hidden="false" customHeight="false" outlineLevel="0" collapsed="false">
      <c r="A5" s="0" t="s">
        <v>123</v>
      </c>
      <c r="B5" s="0" t="s">
        <v>124</v>
      </c>
      <c r="C5" s="0" t="n">
        <f aca="false">C4*Inputs!C8+(1-C4)*Inputs!C8*Inputs!$C$19</f>
        <v>1.35661971830986</v>
      </c>
      <c r="D5" s="0" t="n">
        <f aca="false">D4*Inputs!D8+(1-D4)*Inputs!D8*Inputs!$C$19</f>
        <v>1.95454545454545</v>
      </c>
      <c r="E5" s="0" t="n">
        <f aca="false">E4*Inputs!E8+(1-E4)*Inputs!E8*Inputs!$C$19</f>
        <v>1.37112299465241</v>
      </c>
      <c r="F5" s="0" t="n">
        <f aca="false">F4*Inputs!F8+(1-F4)*Inputs!F8*Inputs!$C$19</f>
        <v>1.76315789473684</v>
      </c>
    </row>
    <row r="6" customFormat="false" ht="15" hidden="false" customHeight="false" outlineLevel="0" collapsed="false">
      <c r="A6" s="0" t="s">
        <v>125</v>
      </c>
      <c r="B6" s="0" t="s">
        <v>126</v>
      </c>
      <c r="C6" s="0" t="n">
        <f aca="false">MIN(0.95,MAX(0.01,Inputs!$C$13*Inputs!$C$16))</f>
        <v>0.378</v>
      </c>
      <c r="D6" s="0" t="n">
        <f aca="false">MIN(0.95,MAX(0.01,Inputs!$C$13*Inputs!$C$16))</f>
        <v>0.378</v>
      </c>
      <c r="E6" s="0" t="n">
        <f aca="false">MIN(0.95,MAX(0.01,Inputs!$C$13*Inputs!$C$16))</f>
        <v>0.378</v>
      </c>
      <c r="F6" s="0" t="n">
        <f aca="false">MIN(0.95,MAX(0.01,Inputs!$C$13*Inputs!$C$16))</f>
        <v>0.378</v>
      </c>
    </row>
    <row r="7" customFormat="false" ht="15" hidden="false" customHeight="false" outlineLevel="0" collapsed="false">
      <c r="A7" s="0" t="s">
        <v>127</v>
      </c>
      <c r="B7" s="0" t="s">
        <v>128</v>
      </c>
      <c r="C7" s="0" t="n">
        <f aca="false">C6*Inputs!$C$14</f>
        <v>0.33264</v>
      </c>
      <c r="D7" s="0" t="n">
        <f aca="false">D6*Inputs!$C$14</f>
        <v>0.33264</v>
      </c>
      <c r="E7" s="0" t="n">
        <f aca="false">E6*Inputs!$C$14</f>
        <v>0.33264</v>
      </c>
      <c r="F7" s="0" t="n">
        <f aca="false">F6*Inputs!$C$14</f>
        <v>0.33264</v>
      </c>
    </row>
    <row r="8" customFormat="false" ht="15" hidden="false" customHeight="false" outlineLevel="0" collapsed="false">
      <c r="A8" s="0" t="s">
        <v>129</v>
      </c>
      <c r="B8" s="0" t="s">
        <v>130</v>
      </c>
      <c r="C8" s="0" t="n">
        <f aca="false">1-(1-C7)^Inputs!$C$30</f>
        <v>0.801646124622099</v>
      </c>
      <c r="D8" s="0" t="n">
        <f aca="false">1-(1-D7)^Inputs!$C$30</f>
        <v>0.801646124622099</v>
      </c>
      <c r="E8" s="0" t="n">
        <f aca="false">1-(1-E7)^Inputs!$C$30</f>
        <v>0.801646124622099</v>
      </c>
      <c r="F8" s="0" t="n">
        <f aca="false">1-(1-F7)^Inputs!$C$30</f>
        <v>0.801646124622099</v>
      </c>
    </row>
    <row r="9" customFormat="false" ht="15" hidden="false" customHeight="false" outlineLevel="0" collapsed="false">
      <c r="A9" s="0" t="s">
        <v>131</v>
      </c>
      <c r="B9" s="0" t="s">
        <v>132</v>
      </c>
      <c r="C9" s="0" t="n">
        <f aca="false">Inputs!$C$15*C8</f>
        <v>0.705448589667447</v>
      </c>
      <c r="D9" s="0" t="n">
        <f aca="false">Inputs!$C$15*D8</f>
        <v>0.705448589667447</v>
      </c>
      <c r="E9" s="0" t="n">
        <f aca="false">Inputs!$C$15*E8</f>
        <v>0.705448589667447</v>
      </c>
      <c r="F9" s="0" t="n">
        <f aca="false">Inputs!$C$15*F8</f>
        <v>0.705448589667447</v>
      </c>
    </row>
    <row r="10" customFormat="false" ht="15" hidden="false" customHeight="false" outlineLevel="0" collapsed="false">
      <c r="A10" s="0" t="s">
        <v>133</v>
      </c>
      <c r="B10" s="0" t="s">
        <v>134</v>
      </c>
      <c r="C10" s="0" t="n">
        <f aca="false">C8/C7</f>
        <v>2.40995107209626</v>
      </c>
      <c r="D10" s="0" t="n">
        <f aca="false">D8/D7</f>
        <v>2.40995107209626</v>
      </c>
      <c r="E10" s="0" t="n">
        <f aca="false">E8/E7</f>
        <v>2.40995107209626</v>
      </c>
      <c r="F10" s="0" t="n">
        <f aca="false">F8/F7</f>
        <v>2.40995107209626</v>
      </c>
    </row>
    <row r="11" customFormat="false" ht="15" hidden="false" customHeight="false" outlineLevel="0" collapsed="false">
      <c r="A11" s="0" t="s">
        <v>135</v>
      </c>
      <c r="B11" s="0" t="s">
        <v>136</v>
      </c>
      <c r="C11" s="0" t="n">
        <f aca="false">Inputs!$C$15*C10+(1-Inputs!$C$15)*Inputs!$C$30</f>
        <v>2.60075694344471</v>
      </c>
      <c r="D11" s="0" t="n">
        <f aca="false">Inputs!$C$15*D10+(1-Inputs!$C$15)*Inputs!$C$30</f>
        <v>2.60075694344471</v>
      </c>
      <c r="E11" s="0" t="n">
        <f aca="false">Inputs!$C$15*E10+(1-Inputs!$C$15)*Inputs!$C$30</f>
        <v>2.60075694344471</v>
      </c>
      <c r="F11" s="0" t="n">
        <f aca="false">Inputs!$C$15*F10+(1-Inputs!$C$15)*Inputs!$C$30</f>
        <v>2.60075694344471</v>
      </c>
    </row>
    <row r="12" customFormat="false" ht="15" hidden="false" customHeight="false" outlineLevel="0" collapsed="false">
      <c r="A12" s="0" t="s">
        <v>137</v>
      </c>
      <c r="B12" s="0" t="s">
        <v>138</v>
      </c>
      <c r="C12" s="0" t="n">
        <f aca="false">Inputs!$C$15*C6*C10</f>
        <v>0.801646124622099</v>
      </c>
      <c r="D12" s="0" t="n">
        <f aca="false">Inputs!$C$15*D6*D10</f>
        <v>0.801646124622099</v>
      </c>
      <c r="E12" s="0" t="n">
        <f aca="false">Inputs!$C$15*E6*E10</f>
        <v>0.801646124622099</v>
      </c>
      <c r="F12" s="0" t="n">
        <f aca="false">Inputs!$C$15*F6*F10</f>
        <v>0.801646124622099</v>
      </c>
    </row>
    <row r="13" customFormat="false" ht="15" hidden="false" customHeight="false" outlineLevel="0" collapsed="false">
      <c r="A13" s="0" t="s">
        <v>139</v>
      </c>
      <c r="B13" s="0" t="s">
        <v>140</v>
      </c>
      <c r="C13" s="0" t="n">
        <f aca="false">C12-C9</f>
        <v>0.0961975349546518</v>
      </c>
      <c r="D13" s="0" t="n">
        <f aca="false">D12-D9</f>
        <v>0.0961975349546518</v>
      </c>
      <c r="E13" s="0" t="n">
        <f aca="false">E12-E9</f>
        <v>0.0961975349546518</v>
      </c>
      <c r="F13" s="0" t="n">
        <f aca="false">F12-F9</f>
        <v>0.0961975349546518</v>
      </c>
    </row>
    <row r="14" customFormat="false" ht="15" hidden="false" customHeight="false" outlineLevel="0" collapsed="false">
      <c r="A14" s="0" t="s">
        <v>141</v>
      </c>
      <c r="B14" s="0" t="s">
        <v>142</v>
      </c>
      <c r="C14" s="0" t="n">
        <f aca="false">C11-C12</f>
        <v>1.79911081882261</v>
      </c>
      <c r="D14" s="0" t="n">
        <f aca="false">D11-D12</f>
        <v>1.79911081882261</v>
      </c>
      <c r="E14" s="0" t="n">
        <f aca="false">E11-E12</f>
        <v>1.79911081882261</v>
      </c>
      <c r="F14" s="0" t="n">
        <f aca="false">F11-F12</f>
        <v>1.79911081882261</v>
      </c>
    </row>
    <row r="15" customFormat="false" ht="15" hidden="false" customHeight="false" outlineLevel="0" collapsed="false">
      <c r="A15" s="0" t="s">
        <v>143</v>
      </c>
      <c r="B15" s="0" t="s">
        <v>144</v>
      </c>
      <c r="C15" s="0" t="n">
        <f aca="false">C2*C9*MIN(1,Inputs!C7*Inputs!$C$17)</f>
        <v>0.0775993448634192</v>
      </c>
      <c r="D15" s="0" t="n">
        <f aca="false">D2*D9*MIN(1,Inputs!D7*Inputs!$C$17)</f>
        <v>0.0564358871733958</v>
      </c>
      <c r="E15" s="0" t="n">
        <f aca="false">E2*E9*MIN(1,Inputs!E7*Inputs!$C$17)</f>
        <v>0.0180594838954866</v>
      </c>
      <c r="F15" s="0" t="n">
        <f aca="false">F2*F9*MIN(1,Inputs!F7*Inputs!$C$17)</f>
        <v>0.0225743548693583</v>
      </c>
    </row>
    <row r="16" customFormat="false" ht="15" hidden="false" customHeight="false" outlineLevel="0" collapsed="false">
      <c r="A16" s="0" t="s">
        <v>145</v>
      </c>
      <c r="B16" s="0" t="s">
        <v>146</v>
      </c>
      <c r="C16" s="0" t="n">
        <f aca="false">C3*(C9*C5+C13*Inputs!$C$18)+C15*Inputs!$C$26</f>
        <v>1.03870891659535</v>
      </c>
      <c r="D16" s="0" t="n">
        <f aca="false">D3*(D9*D5+D13*Inputs!$C$18)+D15*Inputs!$C$26</f>
        <v>1.36010488087884</v>
      </c>
      <c r="E16" s="0" t="n">
        <f aca="false">E3*(E9*E5+E13*Inputs!$C$18)+E15*Inputs!$C$26</f>
        <v>0.788409343812339</v>
      </c>
      <c r="F16" s="0" t="n">
        <f aca="false">F3*(F9*F5+F13*Inputs!$C$18)+F15*Inputs!$C$26</f>
        <v>1.01969387051931</v>
      </c>
    </row>
    <row r="17" customFormat="false" ht="15" hidden="false" customHeight="false" outlineLevel="0" collapsed="false">
      <c r="A17" s="0" t="s">
        <v>147</v>
      </c>
      <c r="B17" s="0" t="s">
        <v>148</v>
      </c>
      <c r="C17" s="0" t="n">
        <f aca="false">Inputs!$C$13*Inputs!$C$14</f>
        <v>0.3696</v>
      </c>
      <c r="D17" s="0" t="n">
        <f aca="false">Inputs!$C$13*Inputs!$C$14</f>
        <v>0.3696</v>
      </c>
      <c r="E17" s="0" t="n">
        <f aca="false">Inputs!$C$13*Inputs!$C$14</f>
        <v>0.3696</v>
      </c>
      <c r="F17" s="0" t="n">
        <f aca="false">Inputs!$C$13*Inputs!$C$14</f>
        <v>0.3696</v>
      </c>
    </row>
    <row r="18" customFormat="false" ht="15" hidden="false" customHeight="false" outlineLevel="0" collapsed="false">
      <c r="A18" s="0" t="s">
        <v>149</v>
      </c>
      <c r="B18" s="0" t="s">
        <v>150</v>
      </c>
      <c r="C18" s="0" t="n">
        <f aca="false">1-(1-C17)^Inputs!$C$31</f>
        <v>0.60259584</v>
      </c>
      <c r="D18" s="0" t="n">
        <f aca="false">1-(1-D17)^Inputs!$C$31</f>
        <v>0.60259584</v>
      </c>
      <c r="E18" s="0" t="n">
        <f aca="false">1-(1-E17)^Inputs!$C$31</f>
        <v>0.60259584</v>
      </c>
      <c r="F18" s="0" t="n">
        <f aca="false">1-(1-F17)^Inputs!$C$31</f>
        <v>0.60259584</v>
      </c>
    </row>
    <row r="19" customFormat="false" ht="15" hidden="false" customHeight="false" outlineLevel="0" collapsed="false">
      <c r="A19" s="0" t="s">
        <v>151</v>
      </c>
      <c r="B19" s="0" t="s">
        <v>152</v>
      </c>
      <c r="C19" s="0" t="n">
        <f aca="false">Inputs!$C$15*C18</f>
        <v>0.5302843392</v>
      </c>
      <c r="D19" s="0" t="n">
        <f aca="false">Inputs!$C$15*D18</f>
        <v>0.5302843392</v>
      </c>
      <c r="E19" s="0" t="n">
        <f aca="false">Inputs!$C$15*E18</f>
        <v>0.5302843392</v>
      </c>
      <c r="F19" s="0" t="n">
        <f aca="false">Inputs!$C$15*F18</f>
        <v>0.5302843392</v>
      </c>
    </row>
    <row r="20" customFormat="false" ht="15" hidden="false" customHeight="false" outlineLevel="0" collapsed="false">
      <c r="A20" s="0" t="s">
        <v>153</v>
      </c>
      <c r="B20" s="0" t="s">
        <v>154</v>
      </c>
      <c r="C20" s="0" t="n">
        <f aca="false">Inputs!$C$15*Inputs!$C$13*C18/C17</f>
        <v>0.60259584</v>
      </c>
      <c r="D20" s="0" t="n">
        <f aca="false">Inputs!$C$15*Inputs!$C$13*D18/D17</f>
        <v>0.60259584</v>
      </c>
      <c r="E20" s="0" t="n">
        <f aca="false">Inputs!$C$15*Inputs!$C$13*E18/E17</f>
        <v>0.60259584</v>
      </c>
      <c r="F20" s="0" t="n">
        <f aca="false">Inputs!$C$15*Inputs!$C$13*F18/F17</f>
        <v>0.60259584</v>
      </c>
    </row>
    <row r="21" customFormat="false" ht="15" hidden="false" customHeight="false" outlineLevel="0" collapsed="false">
      <c r="A21" s="0" t="s">
        <v>155</v>
      </c>
      <c r="B21" s="0" t="s">
        <v>156</v>
      </c>
      <c r="C21" s="0" t="n">
        <f aca="false">C2*Inputs!C6*C19*Inputs!C7</f>
        <v>0.021874228992</v>
      </c>
      <c r="D21" s="0" t="n">
        <f aca="false">D2*Inputs!D6*D19*Inputs!D7</f>
        <v>0.042422747136</v>
      </c>
      <c r="E21" s="0" t="n">
        <f aca="false">E2*Inputs!E6*E19*Inputs!E7</f>
        <v>0.01357527908352</v>
      </c>
      <c r="F21" s="0" t="n">
        <f aca="false">F2*Inputs!F6*F19*Inputs!F7</f>
        <v>0.0169690988544</v>
      </c>
    </row>
    <row r="22" customFormat="false" ht="15" hidden="false" customHeight="false" outlineLevel="0" collapsed="false">
      <c r="A22" s="0" t="s">
        <v>157</v>
      </c>
      <c r="B22" s="0" t="s">
        <v>158</v>
      </c>
      <c r="C22" s="0" t="n">
        <f aca="false">C3*Inputs!C6*(C19*C5+(C20-C19)*Inputs!$C$18)+C21*Inputs!$C$26</f>
        <v>0.24298833613824</v>
      </c>
      <c r="D22" s="0" t="n">
        <f aca="false">D3*Inputs!D6*(D19*D5+(D20-D19)*Inputs!$C$18)+D21*Inputs!$C$26</f>
        <v>0.83487966363648</v>
      </c>
      <c r="E22" s="0" t="n">
        <f aca="false">E3*Inputs!E6*(E19*E5+(E20-E19)*Inputs!$C$18)+E21*Inputs!$C$26</f>
        <v>0.479546733625344</v>
      </c>
      <c r="F22" s="0" t="n">
        <f aca="false">F3*Inputs!F6*(F19*F5+(F20-F19)*Inputs!$C$18)+F21*Inputs!$C$26</f>
        <v>0.61998916632576</v>
      </c>
    </row>
    <row r="23" customFormat="false" ht="15" hidden="false" customHeight="false" outlineLevel="0" collapsed="false">
      <c r="A23" s="0" t="s">
        <v>159</v>
      </c>
      <c r="B23" s="0" t="s">
        <v>160</v>
      </c>
      <c r="C23" s="0" t="n">
        <f aca="false">C22*Inputs!$C$25</f>
        <v>1.8224125210368</v>
      </c>
      <c r="D23" s="0" t="n">
        <f aca="false">D22*Inputs!$C$25</f>
        <v>6.2615974772736</v>
      </c>
      <c r="E23" s="0" t="n">
        <f aca="false">E22*Inputs!$C$25</f>
        <v>3.59660050219008</v>
      </c>
      <c r="F23" s="0" t="n">
        <f aca="false">F22*Inputs!$C$25</f>
        <v>4.6499187474432</v>
      </c>
    </row>
    <row r="24" customFormat="false" ht="15" hidden="false" customHeight="false" outlineLevel="0" collapsed="false">
      <c r="A24" s="0" t="s">
        <v>161</v>
      </c>
      <c r="B24" s="0" t="s">
        <v>162</v>
      </c>
      <c r="C24" s="0" t="n">
        <f aca="false">Inputs!C6*Inputs!$C$27/Inputs!$C$28</f>
        <v>5.6</v>
      </c>
      <c r="D24" s="0" t="n">
        <f aca="false">Inputs!D6*Inputs!$C$27/Inputs!$C$28</f>
        <v>14.9333333333333</v>
      </c>
      <c r="E24" s="0" t="n">
        <f aca="false">Inputs!E6*Inputs!$C$27/Inputs!$C$28</f>
        <v>14.9333333333333</v>
      </c>
      <c r="F24" s="0" t="n">
        <f aca="false">Inputs!F6*Inputs!$C$27/Inputs!$C$28</f>
        <v>14.9333333333333</v>
      </c>
    </row>
    <row r="25" customFormat="false" ht="15" hidden="false" customHeight="false" outlineLevel="0" collapsed="false">
      <c r="A25" s="0" t="s">
        <v>163</v>
      </c>
      <c r="B25" s="0" t="s">
        <v>164</v>
      </c>
      <c r="C25" s="0" t="n">
        <f aca="false">Inputs!C3*Inputs!C2</f>
        <v>225</v>
      </c>
      <c r="D25" s="0" t="n">
        <f aca="false">Inputs!D3*Inputs!D2</f>
        <v>1980</v>
      </c>
      <c r="E25" s="0" t="n">
        <f aca="false">Inputs!E3*Inputs!E2</f>
        <v>2550</v>
      </c>
      <c r="F25" s="0" t="n">
        <f aca="false">Inputs!F3*Inputs!F2</f>
        <v>1500</v>
      </c>
    </row>
    <row r="26" customFormat="false" ht="15" hidden="false" customHeight="false" outlineLevel="0" collapsed="false">
      <c r="A26" s="0" t="s">
        <v>165</v>
      </c>
      <c r="B26" s="0" t="s">
        <v>166</v>
      </c>
      <c r="C26" s="0" t="n">
        <f aca="false">C25*(1+Inputs!C9/(1+Inputs!$C$36)+(Inputs!C9/(1+Inputs!$C$36))^2)</f>
        <v>389.750079719388</v>
      </c>
      <c r="D26" s="0" t="n">
        <f aca="false">D25*(1+Inputs!D9/(1+Inputs!$C$36)+(Inputs!D9/(1+Inputs!$C$36))^2)</f>
        <v>3795.99968112245</v>
      </c>
      <c r="E26" s="0" t="n">
        <f aca="false">E25*(1+Inputs!E9/(1+Inputs!$C$36)+(Inputs!E9/(1+Inputs!$C$36))^2)</f>
        <v>6069.46348852041</v>
      </c>
      <c r="F26" s="0" t="n">
        <f aca="false">F25*(1+Inputs!F9/(1+Inputs!$C$36)+(Inputs!F9/(1+Inputs!$C$36))^2)</f>
        <v>3673.94770408163</v>
      </c>
    </row>
    <row r="27" customFormat="false" ht="15" hidden="false" customHeight="false" outlineLevel="0" collapsed="false">
      <c r="A27" s="0" t="s">
        <v>167</v>
      </c>
      <c r="B27" s="0" t="s">
        <v>168</v>
      </c>
      <c r="C27" s="0" t="n">
        <f aca="false">C16*(Inputs!$C$32+Inputs!$C$29)+C3*C14*Inputs!$C$21+Inputs!$C$20*Inputs!$C$34+C3*C9*Inputs!$C$22*Inputs!$C$23*Inputs!$C$24</f>
        <v>8.14600320612212</v>
      </c>
      <c r="D27" s="0" t="n">
        <f aca="false">D16*(Inputs!$C$32+Inputs!$C$29)+D3*D14*Inputs!$C$21+Inputs!$C$20*Inputs!$C$34+D3*D9*Inputs!$C$22*Inputs!$C$23*Inputs!$C$24</f>
        <v>10.0535466453412</v>
      </c>
      <c r="E27" s="0" t="n">
        <f aca="false">E16*(Inputs!$C$32+Inputs!$C$29)+E3*E14*Inputs!$C$21+Inputs!$C$20*Inputs!$C$34+E3*E9*Inputs!$C$22*Inputs!$C$23*Inputs!$C$24</f>
        <v>6.38128941503069</v>
      </c>
      <c r="F27" s="0" t="n">
        <f aca="false">F16*(Inputs!$C$32+Inputs!$C$29)+F3*F14*Inputs!$C$21+Inputs!$C$20*Inputs!$C$34+F3*F9*Inputs!$C$22*Inputs!$C$23*Inputs!$C$24</f>
        <v>7.78741796825227</v>
      </c>
    </row>
    <row r="28" customFormat="false" ht="15" hidden="false" customHeight="false" outlineLevel="0" collapsed="false">
      <c r="A28" s="0" t="s">
        <v>169</v>
      </c>
      <c r="B28" s="0" t="s">
        <v>170</v>
      </c>
      <c r="C28" s="0" t="n">
        <f aca="false">C16*(Inputs!$C$33+Inputs!$C$29)+C3*C14*Inputs!$C$21+Inputs!$C$20*Inputs!$C$34+C3*C9*Inputs!$C$22*Inputs!$C$23*Inputs!$C$24</f>
        <v>5.21684406132325</v>
      </c>
      <c r="D28" s="0" t="n">
        <f aca="false">D16*(Inputs!$C$33+Inputs!$C$29)+D3*D14*Inputs!$C$21+Inputs!$C$20*Inputs!$C$34+D3*D9*Inputs!$C$22*Inputs!$C$23*Inputs!$C$24</f>
        <v>6.2180508812629</v>
      </c>
      <c r="E28" s="0" t="n">
        <f aca="false">E16*(Inputs!$C$33+Inputs!$C$29)+E3*E14*Inputs!$C$21+Inputs!$C$20*Inputs!$C$34+E3*E9*Inputs!$C$22*Inputs!$C$23*Inputs!$C$24</f>
        <v>4.1579750654799</v>
      </c>
      <c r="F28" s="0" t="n">
        <f aca="false">F16*(Inputs!$C$33+Inputs!$C$29)+F3*F14*Inputs!$C$21+Inputs!$C$20*Inputs!$C$34+F3*F9*Inputs!$C$22*Inputs!$C$23*Inputs!$C$24</f>
        <v>4.91188125338782</v>
      </c>
    </row>
    <row r="29" customFormat="false" ht="15" hidden="false" customHeight="false" outlineLevel="0" collapsed="false">
      <c r="A29" s="0" t="s">
        <v>171</v>
      </c>
      <c r="B29" s="0" t="s">
        <v>172</v>
      </c>
      <c r="C29" s="0" t="n">
        <f aca="false">Inputs!C4+C15</f>
        <v>0.527599344863419</v>
      </c>
      <c r="D29" s="0" t="n">
        <f aca="false">Inputs!D4+D15</f>
        <v>0.656435887173396</v>
      </c>
      <c r="E29" s="0" t="n">
        <f aca="false">Inputs!E4+E15</f>
        <v>0.858059483895487</v>
      </c>
      <c r="F29" s="0" t="n">
        <f aca="false">Inputs!F4+F15</f>
        <v>0.822574354869358</v>
      </c>
    </row>
    <row r="30" customFormat="false" ht="15" hidden="false" customHeight="false" outlineLevel="0" collapsed="false">
      <c r="A30" s="0" t="s">
        <v>173</v>
      </c>
      <c r="B30" s="0" t="s">
        <v>174</v>
      </c>
      <c r="C30" s="0" t="n">
        <f aca="false">C15*C25/C29</f>
        <v>33.0930141673872</v>
      </c>
      <c r="D30" s="0" t="n">
        <f aca="false">D15*D25/D29</f>
        <v>170.226915966596</v>
      </c>
      <c r="E30" s="0" t="n">
        <f aca="false">E15*E25/E29</f>
        <v>53.6695704643014</v>
      </c>
      <c r="F30" s="0" t="n">
        <f aca="false">F15*F25/F29</f>
        <v>41.165314847939</v>
      </c>
    </row>
    <row r="31" customFormat="false" ht="15" hidden="false" customHeight="false" outlineLevel="0" collapsed="false">
      <c r="A31" s="0" t="s">
        <v>175</v>
      </c>
      <c r="B31" s="0" t="s">
        <v>176</v>
      </c>
      <c r="C31" s="0" t="n">
        <f aca="false">((C15-C21)*C25+C23)/C29</f>
        <v>27.2186910994434</v>
      </c>
      <c r="D31" s="0" t="n">
        <f aca="false">((D15-D21)*D25+D23)/D29</f>
        <v>51.806452718107</v>
      </c>
      <c r="E31" s="0" t="n">
        <f aca="false">((E15-E21)*E25+E23)/E29</f>
        <v>17.5178097262729</v>
      </c>
      <c r="F31" s="0" t="n">
        <f aca="false">((F15-F21)*F25+F23)/F29</f>
        <v>15.8743129938138</v>
      </c>
    </row>
    <row r="32" customFormat="false" ht="15" hidden="false" customHeight="false" outlineLevel="0" collapsed="false">
      <c r="A32" s="0" t="s">
        <v>177</v>
      </c>
      <c r="B32" s="0" t="s">
        <v>178</v>
      </c>
      <c r="C32" s="0" t="n">
        <f aca="false">((C15-C21)*C25+C24)/C29</f>
        <v>34.3786459321036</v>
      </c>
      <c r="D32" s="0" t="n">
        <f aca="false">((D15-D21)*D25+D24)/D29</f>
        <v>65.0167844892723</v>
      </c>
      <c r="E32" s="0" t="n">
        <f aca="false">((E15-E21)*E25+E24)/E29</f>
        <v>30.7298690810344</v>
      </c>
      <c r="F32" s="0" t="n">
        <f aca="false">((F15-F21)*F25+F24)/F29</f>
        <v>28.3758145602264</v>
      </c>
    </row>
    <row r="33" customFormat="false" ht="15" hidden="false" customHeight="false" outlineLevel="0" collapsed="false">
      <c r="A33" s="0" t="s">
        <v>179</v>
      </c>
      <c r="B33" s="0" t="s">
        <v>180</v>
      </c>
      <c r="C33" s="0" t="n">
        <f aca="false">C27/((1-Inputs!$C$37)*C29)</f>
        <v>25.7329205246041</v>
      </c>
      <c r="D33" s="0" t="n">
        <f aca="false">D27/((1-Inputs!$C$37)*D29)</f>
        <v>25.5255865850349</v>
      </c>
      <c r="E33" s="0" t="n">
        <f aca="false">E27/((1-Inputs!$C$37)*E29)</f>
        <v>12.3948077703199</v>
      </c>
      <c r="F33" s="0" t="n">
        <f aca="false">F27/((1-Inputs!$C$37)*F29)</f>
        <v>15.7785492220317</v>
      </c>
    </row>
    <row r="34" customFormat="false" ht="15" hidden="false" customHeight="false" outlineLevel="0" collapsed="false">
      <c r="A34" s="0" t="s">
        <v>181</v>
      </c>
      <c r="B34" s="0" t="s">
        <v>182</v>
      </c>
      <c r="C34" s="0" t="n">
        <f aca="false">C27/((1-Inputs!$C$37)*C15)</f>
        <v>174.958590618252</v>
      </c>
      <c r="D34" s="0" t="n">
        <f aca="false">D27/((1-Inputs!$C$37)*D15)</f>
        <v>296.901704124668</v>
      </c>
      <c r="E34" s="0" t="n">
        <f aca="false">E27/((1-Inputs!$C$37)*E15)</f>
        <v>588.913970074331</v>
      </c>
      <c r="F34" s="0" t="n">
        <f aca="false">F27/((1-Inputs!$C$37)*F15)</f>
        <v>574.945774627847</v>
      </c>
    </row>
    <row r="35" customFormat="false" ht="15" hidden="false" customHeight="false" outlineLevel="0" collapsed="false">
      <c r="A35" s="0" t="s">
        <v>183</v>
      </c>
      <c r="B35" s="0" t="s">
        <v>184</v>
      </c>
      <c r="C35" s="0" t="n">
        <f aca="false">Inputs!C40*C29</f>
        <v>10.5519868972684</v>
      </c>
      <c r="D35" s="0" t="n">
        <f aca="false">Inputs!D40*D29</f>
        <v>32.8217943586698</v>
      </c>
      <c r="E35" s="0" t="n">
        <f aca="false">Inputs!E40*E29</f>
        <v>12.8708922584323</v>
      </c>
      <c r="F35" s="0" t="n">
        <f aca="false">Inputs!F40*F29</f>
        <v>12.3386153230404</v>
      </c>
    </row>
    <row r="36" customFormat="false" ht="15" hidden="false" customHeight="false" outlineLevel="0" collapsed="false">
      <c r="A36" s="0" t="s">
        <v>185</v>
      </c>
      <c r="B36" s="0" t="s">
        <v>186</v>
      </c>
      <c r="C36" s="0" t="n">
        <f aca="false">(C35-C27)/C35</f>
        <v>0.228012384261878</v>
      </c>
      <c r="D36" s="0" t="n">
        <f aca="false">(D35-D27)/D35</f>
        <v>0.693692960979581</v>
      </c>
      <c r="E36" s="0" t="n">
        <f aca="false">(E35-E27)/E35</f>
        <v>0.504207689187203</v>
      </c>
      <c r="F36" s="0" t="n">
        <f aca="false">(F35-F27)/F35</f>
        <v>0.368858031118733</v>
      </c>
    </row>
    <row r="37" customFormat="false" ht="15" hidden="false" customHeight="false" outlineLevel="0" collapsed="false">
      <c r="A37" s="0" t="s">
        <v>187</v>
      </c>
      <c r="B37" s="0" t="s">
        <v>188</v>
      </c>
      <c r="C37" s="0" t="n">
        <f aca="false">(C35-C28)/C35</f>
        <v>0.505605521300093</v>
      </c>
      <c r="D37" s="0" t="n">
        <f aca="false">(D35-D28)/D35</f>
        <v>0.810551159594953</v>
      </c>
      <c r="E37" s="0" t="n">
        <f aca="false">(E35-E28)/E35</f>
        <v>0.676947411104633</v>
      </c>
      <c r="F37" s="0" t="n">
        <f aca="false">(F35-F28)/F35</f>
        <v>0.601909847678315</v>
      </c>
    </row>
    <row r="38" customFormat="false" ht="15" hidden="false" customHeight="false" outlineLevel="0" collapsed="false">
      <c r="A38" s="0" t="s">
        <v>189</v>
      </c>
      <c r="B38" s="0" t="s">
        <v>190</v>
      </c>
      <c r="C38" s="0" t="n">
        <f aca="false">C35/C16</f>
        <v>10.1587525905289</v>
      </c>
      <c r="D38" s="0" t="n">
        <f aca="false">D35/D16</f>
        <v>24.1318113184491</v>
      </c>
      <c r="E38" s="0" t="n">
        <f aca="false">E35/E16</f>
        <v>16.3251391671683</v>
      </c>
      <c r="F38" s="0" t="n">
        <f aca="false">F35/F16</f>
        <v>12.1003133192873</v>
      </c>
    </row>
    <row r="39" customFormat="false" ht="15" hidden="false" customHeight="false" outlineLevel="0" collapsed="false">
      <c r="A39" s="0" t="s">
        <v>191</v>
      </c>
      <c r="B39" s="0" t="s">
        <v>192</v>
      </c>
      <c r="C39" s="0" t="n">
        <f aca="false">1000*(C15*C25-C35)</f>
        <v>6907.86569700093</v>
      </c>
      <c r="D39" s="0" t="n">
        <f aca="false">1000*(D15*D25-D35)</f>
        <v>78921.2622446538</v>
      </c>
      <c r="E39" s="0" t="n">
        <f aca="false">1000*(E15*E25-E35)</f>
        <v>33180.7916750587</v>
      </c>
      <c r="F39" s="0" t="n">
        <f aca="false">1000*(F15*F25-F35)</f>
        <v>21522.9169809971</v>
      </c>
    </row>
    <row r="40" customFormat="false" ht="15" hidden="false" customHeight="false" outlineLevel="0" collapsed="false">
      <c r="A40" s="0" t="s">
        <v>193</v>
      </c>
      <c r="B40" s="0" t="s">
        <v>194</v>
      </c>
      <c r="C40" s="0" t="n">
        <f aca="false">3*Inputs!$C$38/C22</f>
        <v>59262.1038065284</v>
      </c>
      <c r="D40" s="0" t="n">
        <f aca="false">3*Inputs!$C$38/D22</f>
        <v>17247.9946837823</v>
      </c>
      <c r="E40" s="0" t="n">
        <f aca="false">3*Inputs!$C$38/E22</f>
        <v>30028.3559250563</v>
      </c>
      <c r="F40" s="0" t="n">
        <f aca="false">3*Inputs!$C$38/F22</f>
        <v>23226.2122987385</v>
      </c>
    </row>
    <row r="41" customFormat="false" ht="15" hidden="false" customHeight="false" outlineLevel="0" collapsed="false">
      <c r="A41" s="0" t="s">
        <v>195</v>
      </c>
      <c r="B41" s="0" t="s">
        <v>196</v>
      </c>
      <c r="C41" s="0" t="n">
        <f aca="false">3*Inputs!$C$28/Inputs!C6</f>
        <v>15000</v>
      </c>
      <c r="D41" s="0" t="n">
        <f aca="false">3*Inputs!$C$28/Inputs!D6</f>
        <v>5625</v>
      </c>
      <c r="E41" s="0" t="n">
        <f aca="false">3*Inputs!$C$28/Inputs!E6</f>
        <v>5625</v>
      </c>
      <c r="F41" s="0" t="n">
        <f aca="false">3*Inputs!$C$28/Inputs!F6</f>
        <v>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15" min="3" style="0" width="18"/>
  </cols>
  <sheetData>
    <row r="1" customFormat="false" ht="15" hidden="false" customHeight="false" outlineLevel="0" collapsed="false">
      <c r="A1" s="4" t="s">
        <v>197</v>
      </c>
    </row>
    <row r="2" customFormat="false" ht="15" hidden="false" customHeight="false" outlineLevel="0" collapsed="false">
      <c r="A2" s="1" t="s">
        <v>198</v>
      </c>
      <c r="B2" s="1" t="s">
        <v>199</v>
      </c>
      <c r="C2" s="1" t="s">
        <v>200</v>
      </c>
      <c r="D2" s="1" t="s">
        <v>201</v>
      </c>
      <c r="E2" s="1" t="s">
        <v>202</v>
      </c>
      <c r="F2" s="1" t="s">
        <v>203</v>
      </c>
    </row>
    <row r="3" customFormat="false" ht="15" hidden="false" customHeight="false" outlineLevel="0" collapsed="false">
      <c r="A3" s="0" t="s">
        <v>9</v>
      </c>
      <c r="B3" s="0" t="s">
        <v>204</v>
      </c>
      <c r="C3" s="0" t="n">
        <v>161.8302</v>
      </c>
      <c r="D3" s="0" t="n">
        <v>265.1795</v>
      </c>
      <c r="E3" s="0" t="n">
        <v>413.2644</v>
      </c>
      <c r="F3" s="0" t="n">
        <v>278.2573</v>
      </c>
    </row>
    <row r="4" customFormat="false" ht="15" hidden="false" customHeight="false" outlineLevel="0" collapsed="false">
      <c r="A4" s="0" t="s">
        <v>9</v>
      </c>
      <c r="B4" s="0" t="s">
        <v>205</v>
      </c>
      <c r="C4" s="0" t="n">
        <v>278.2315</v>
      </c>
      <c r="D4" s="0" t="n">
        <v>457.9616</v>
      </c>
      <c r="E4" s="0" t="n">
        <v>721.1534</v>
      </c>
      <c r="F4" s="0" t="n">
        <v>482.8793</v>
      </c>
    </row>
    <row r="5" customFormat="false" ht="15" hidden="false" customHeight="false" outlineLevel="0" collapsed="false">
      <c r="A5" s="0" t="s">
        <v>9</v>
      </c>
      <c r="B5" s="0" t="s">
        <v>206</v>
      </c>
      <c r="C5" s="0" t="n">
        <v>0.3668</v>
      </c>
      <c r="D5" s="0" t="n">
        <v>0.4494</v>
      </c>
      <c r="E5" s="0" t="n">
        <v>0.5334</v>
      </c>
      <c r="F5" s="0" t="n">
        <v>0.4499</v>
      </c>
    </row>
    <row r="6" customFormat="false" ht="15" hidden="false" customHeight="false" outlineLevel="0" collapsed="false">
      <c r="A6" s="0" t="s">
        <v>9</v>
      </c>
      <c r="B6" s="0" t="s">
        <v>207</v>
      </c>
      <c r="C6" s="0" t="n">
        <v>43.8789</v>
      </c>
      <c r="D6" s="0" t="n">
        <v>71.0018</v>
      </c>
      <c r="E6" s="0" t="n">
        <v>106.7536</v>
      </c>
      <c r="F6" s="0" t="n">
        <v>73.6386</v>
      </c>
    </row>
    <row r="7" customFormat="false" ht="15" hidden="false" customHeight="false" outlineLevel="0" collapsed="false">
      <c r="A7" s="0" t="s">
        <v>9</v>
      </c>
      <c r="B7" s="0" t="s">
        <v>208</v>
      </c>
      <c r="C7" s="0" t="n">
        <v>9.5092</v>
      </c>
      <c r="D7" s="0" t="n">
        <v>19.7603</v>
      </c>
      <c r="E7" s="0" t="n">
        <v>37.2388</v>
      </c>
      <c r="F7" s="0" t="n">
        <v>21.813</v>
      </c>
    </row>
    <row r="8" customFormat="false" ht="15" hidden="false" customHeight="false" outlineLevel="0" collapsed="false">
      <c r="A8" s="0" t="s">
        <v>9</v>
      </c>
      <c r="B8" s="0" t="s">
        <v>209</v>
      </c>
      <c r="C8" s="0" t="n">
        <v>0.5681</v>
      </c>
      <c r="D8" s="0" t="n">
        <v>0.6892</v>
      </c>
      <c r="E8" s="0" t="n">
        <v>0.7912</v>
      </c>
      <c r="F8" s="0" t="n">
        <v>0.6839</v>
      </c>
    </row>
    <row r="9" customFormat="false" ht="15" hidden="false" customHeight="false" outlineLevel="0" collapsed="false">
      <c r="A9" s="0" t="s">
        <v>9</v>
      </c>
      <c r="B9" s="0" t="s">
        <v>210</v>
      </c>
      <c r="C9" s="0" t="n">
        <v>1999.9369</v>
      </c>
      <c r="D9" s="0" t="n">
        <v>2439.3066</v>
      </c>
      <c r="E9" s="0" t="n">
        <v>2930.5164</v>
      </c>
      <c r="F9" s="0" t="n">
        <v>2454.2732</v>
      </c>
    </row>
    <row r="10" customFormat="false" ht="15" hidden="false" customHeight="false" outlineLevel="0" collapsed="false">
      <c r="A10" s="0" t="s">
        <v>9</v>
      </c>
      <c r="B10" s="0" t="s">
        <v>211</v>
      </c>
      <c r="C10" s="0" t="n">
        <v>802.7539</v>
      </c>
      <c r="D10" s="0" t="n">
        <v>1077.2105</v>
      </c>
      <c r="E10" s="0" t="n">
        <v>1402.9298</v>
      </c>
      <c r="F10" s="0" t="n">
        <v>1092.6709</v>
      </c>
    </row>
    <row r="11" customFormat="false" ht="15" hidden="false" customHeight="false" outlineLevel="0" collapsed="false">
      <c r="A11" s="0" t="s">
        <v>9</v>
      </c>
      <c r="B11" s="0" t="s">
        <v>212</v>
      </c>
      <c r="C11" s="0" t="n">
        <v>125.6644</v>
      </c>
      <c r="D11" s="0" t="n">
        <v>244.7563</v>
      </c>
      <c r="E11" s="0" t="n">
        <v>432.2795</v>
      </c>
      <c r="F11" s="0" t="n">
        <v>264.8845</v>
      </c>
    </row>
    <row r="12" customFormat="false" ht="15" hidden="false" customHeight="false" outlineLevel="0" collapsed="false">
      <c r="A12" s="0" t="s">
        <v>9</v>
      </c>
      <c r="B12" s="0" t="s">
        <v>213</v>
      </c>
      <c r="C12" s="0" t="n">
        <v>996.1019</v>
      </c>
      <c r="D12" s="0" t="n">
        <v>1986.5315</v>
      </c>
      <c r="E12" s="0" t="n">
        <v>3588.4419</v>
      </c>
      <c r="F12" s="0" t="n">
        <v>2166.4424</v>
      </c>
    </row>
    <row r="13" customFormat="false" ht="15" hidden="false" customHeight="false" outlineLevel="0" collapsed="false">
      <c r="A13" s="0" t="s">
        <v>9</v>
      </c>
      <c r="B13" s="0" t="s">
        <v>214</v>
      </c>
      <c r="C13" s="0" t="n">
        <v>2.1057</v>
      </c>
      <c r="D13" s="0" t="n">
        <v>4.2365</v>
      </c>
      <c r="E13" s="0" t="n">
        <v>7.7782</v>
      </c>
      <c r="F13" s="0" t="n">
        <v>4.6591</v>
      </c>
    </row>
    <row r="14" customFormat="false" ht="15" hidden="false" customHeight="false" outlineLevel="0" collapsed="false">
      <c r="A14" s="0" t="s">
        <v>9</v>
      </c>
      <c r="B14" s="0" t="s">
        <v>215</v>
      </c>
      <c r="C14" s="0" t="n">
        <v>2992.1386</v>
      </c>
      <c r="D14" s="0" t="n">
        <v>5432.1349</v>
      </c>
      <c r="E14" s="0" t="n">
        <v>9485.876</v>
      </c>
      <c r="F14" s="0" t="n">
        <v>5917.7966</v>
      </c>
    </row>
    <row r="15" customFormat="false" ht="15" hidden="false" customHeight="false" outlineLevel="0" collapsed="false">
      <c r="A15" s="0" t="s">
        <v>9</v>
      </c>
      <c r="B15" s="0" t="s">
        <v>216</v>
      </c>
      <c r="C15" s="0" t="n">
        <v>6.3748</v>
      </c>
      <c r="D15" s="0" t="n">
        <v>11.6015</v>
      </c>
      <c r="E15" s="0" t="n">
        <v>20.4706</v>
      </c>
      <c r="F15" s="0" t="n">
        <v>12.6929</v>
      </c>
    </row>
    <row r="16" customFormat="false" ht="15" hidden="false" customHeight="false" outlineLevel="0" collapsed="false">
      <c r="A16" s="0" t="s">
        <v>9</v>
      </c>
      <c r="B16" s="0" t="s">
        <v>217</v>
      </c>
      <c r="C16" s="0" t="n">
        <v>1.4807</v>
      </c>
      <c r="D16" s="0" t="n">
        <v>2.0659</v>
      </c>
      <c r="E16" s="0" t="n">
        <v>2.8196</v>
      </c>
      <c r="F16" s="0" t="n">
        <v>2.1165</v>
      </c>
    </row>
    <row r="17" customFormat="false" ht="15" hidden="false" customHeight="false" outlineLevel="0" collapsed="false">
      <c r="A17" s="0" t="s">
        <v>9</v>
      </c>
      <c r="B17" s="0" t="s">
        <v>218</v>
      </c>
      <c r="C17" s="0" t="n">
        <v>6764.9031</v>
      </c>
      <c r="D17" s="0" t="n">
        <v>9091.8477</v>
      </c>
      <c r="E17" s="0" t="n">
        <v>12011.8464</v>
      </c>
      <c r="F17" s="0" t="n">
        <v>9278.8851</v>
      </c>
    </row>
    <row r="18" customFormat="false" ht="15" hidden="false" customHeight="false" outlineLevel="0" collapsed="false">
      <c r="A18" s="0" t="s">
        <v>9</v>
      </c>
      <c r="B18" s="0" t="s">
        <v>219</v>
      </c>
      <c r="C18" s="0" t="n">
        <v>4479.9188</v>
      </c>
      <c r="D18" s="0" t="n">
        <v>6011.9551</v>
      </c>
      <c r="E18" s="0" t="n">
        <v>7966.4088</v>
      </c>
      <c r="F18" s="0" t="n">
        <v>6139.7369</v>
      </c>
    </row>
    <row r="19" customFormat="false" ht="15" hidden="false" customHeight="false" outlineLevel="0" collapsed="false">
      <c r="A19" s="0" t="s">
        <v>9</v>
      </c>
      <c r="B19" s="0" t="s">
        <v>220</v>
      </c>
      <c r="C19" s="0" t="n">
        <v>12.5332</v>
      </c>
      <c r="D19" s="0" t="n">
        <v>17.4613</v>
      </c>
      <c r="E19" s="0" t="n">
        <v>24.0728</v>
      </c>
      <c r="F19" s="0" t="n">
        <v>17.9662</v>
      </c>
    </row>
    <row r="20" customFormat="false" ht="15" hidden="false" customHeight="false" outlineLevel="0" collapsed="false">
      <c r="A20" s="0" t="s">
        <v>9</v>
      </c>
      <c r="B20" s="0" t="s">
        <v>221</v>
      </c>
      <c r="C20" s="0" t="n">
        <v>8.314</v>
      </c>
      <c r="D20" s="0" t="n">
        <v>11.5219</v>
      </c>
      <c r="E20" s="0" t="n">
        <v>16.0023</v>
      </c>
      <c r="F20" s="0" t="n">
        <v>11.8859</v>
      </c>
    </row>
    <row r="21" customFormat="false" ht="15" hidden="false" customHeight="false" outlineLevel="0" collapsed="false">
      <c r="A21" s="0" t="s">
        <v>9</v>
      </c>
      <c r="B21" s="0" t="s">
        <v>222</v>
      </c>
      <c r="C21" s="0" t="n">
        <v>86.9173</v>
      </c>
      <c r="D21" s="0" t="n">
        <v>127.4544</v>
      </c>
      <c r="E21" s="0" t="n">
        <v>202.0987</v>
      </c>
      <c r="F21" s="0" t="n">
        <v>137.6569</v>
      </c>
    </row>
    <row r="22" customFormat="false" ht="15" hidden="false" customHeight="false" outlineLevel="0" collapsed="false">
      <c r="A22" s="0" t="s">
        <v>9</v>
      </c>
      <c r="B22" s="0" t="s">
        <v>223</v>
      </c>
      <c r="C22" s="0" t="n">
        <v>56.792</v>
      </c>
      <c r="D22" s="0" t="n">
        <v>84.0735</v>
      </c>
      <c r="E22" s="0" t="n">
        <v>135.0408</v>
      </c>
      <c r="F22" s="0" t="n">
        <v>91.3561</v>
      </c>
    </row>
    <row r="23" customFormat="false" ht="15" hidden="false" customHeight="false" outlineLevel="0" collapsed="false">
      <c r="A23" s="0" t="s">
        <v>9</v>
      </c>
      <c r="B23" s="0" t="s">
        <v>224</v>
      </c>
      <c r="C23" s="0" t="n">
        <v>18.0274</v>
      </c>
      <c r="D23" s="0" t="n">
        <v>35.5162</v>
      </c>
      <c r="E23" s="0" t="n">
        <v>66.4254</v>
      </c>
      <c r="F23" s="0" t="n">
        <v>39.5417</v>
      </c>
    </row>
    <row r="24" customFormat="false" ht="15" hidden="false" customHeight="false" outlineLevel="0" collapsed="false">
      <c r="A24" s="0" t="s">
        <v>9</v>
      </c>
      <c r="B24" s="0" t="s">
        <v>225</v>
      </c>
      <c r="C24" s="0" t="n">
        <v>30.983</v>
      </c>
      <c r="D24" s="0" t="n">
        <v>61.621</v>
      </c>
      <c r="E24" s="0" t="n">
        <v>116.0958</v>
      </c>
      <c r="F24" s="0" t="n">
        <v>68.6085</v>
      </c>
    </row>
    <row r="25" customFormat="false" ht="15" hidden="false" customHeight="false" outlineLevel="0" collapsed="false">
      <c r="A25" s="0" t="s">
        <v>9</v>
      </c>
      <c r="B25" s="0" t="s">
        <v>226</v>
      </c>
      <c r="C25" s="0" t="n">
        <v>15.5036</v>
      </c>
      <c r="D25" s="0" t="n">
        <v>28.6358</v>
      </c>
      <c r="E25" s="0" t="n">
        <v>52.9371</v>
      </c>
      <c r="F25" s="0" t="n">
        <v>31.9837</v>
      </c>
    </row>
    <row r="26" customFormat="false" ht="15" hidden="false" customHeight="false" outlineLevel="0" collapsed="false">
      <c r="A26" s="0" t="s">
        <v>9</v>
      </c>
      <c r="B26" s="0" t="s">
        <v>227</v>
      </c>
      <c r="C26" s="0" t="n">
        <v>21.9956</v>
      </c>
      <c r="D26" s="0" t="n">
        <v>36.1826</v>
      </c>
      <c r="E26" s="0" t="n">
        <v>60.7452</v>
      </c>
      <c r="F26" s="0" t="n">
        <v>39.2276</v>
      </c>
    </row>
    <row r="27" customFormat="false" ht="15" hidden="false" customHeight="false" outlineLevel="0" collapsed="false">
      <c r="A27" s="0" t="s">
        <v>9</v>
      </c>
      <c r="B27" s="0" t="s">
        <v>228</v>
      </c>
      <c r="C27" s="0" t="n">
        <v>20.8887</v>
      </c>
      <c r="D27" s="0" t="n">
        <v>29.1021</v>
      </c>
      <c r="E27" s="0" t="n">
        <v>40.1214</v>
      </c>
      <c r="F27" s="0" t="n">
        <v>29.9437</v>
      </c>
    </row>
    <row r="28" customFormat="false" ht="15" hidden="false" customHeight="false" outlineLevel="0" collapsed="false">
      <c r="A28" s="0" t="s">
        <v>9</v>
      </c>
      <c r="B28" s="0" t="s">
        <v>229</v>
      </c>
      <c r="C28" s="0" t="n">
        <v>16.628</v>
      </c>
      <c r="D28" s="0" t="n">
        <v>23.0438</v>
      </c>
      <c r="E28" s="0" t="n">
        <v>32.0047</v>
      </c>
      <c r="F28" s="0" t="n">
        <v>23.7718</v>
      </c>
    </row>
    <row r="29" customFormat="false" ht="15" hidden="false" customHeight="false" outlineLevel="0" collapsed="false">
      <c r="A29" s="0" t="s">
        <v>9</v>
      </c>
      <c r="B29" s="0" t="s">
        <v>230</v>
      </c>
      <c r="C29" s="0" t="n">
        <v>144.8621</v>
      </c>
      <c r="D29" s="0" t="n">
        <v>212.4239</v>
      </c>
      <c r="E29" s="0" t="n">
        <v>336.8311</v>
      </c>
      <c r="F29" s="0" t="n">
        <v>229.4282</v>
      </c>
    </row>
    <row r="30" customFormat="false" ht="15" hidden="false" customHeight="false" outlineLevel="0" collapsed="false">
      <c r="A30" s="0" t="s">
        <v>9</v>
      </c>
      <c r="B30" s="0" t="s">
        <v>231</v>
      </c>
      <c r="C30" s="0" t="n">
        <v>113.5841</v>
      </c>
      <c r="D30" s="0" t="n">
        <v>168.147</v>
      </c>
      <c r="E30" s="0" t="n">
        <v>270.0817</v>
      </c>
      <c r="F30" s="0" t="n">
        <v>182.7122</v>
      </c>
    </row>
    <row r="31" customFormat="false" ht="15" hidden="false" customHeight="false" outlineLevel="0" collapsed="false">
      <c r="A31" s="0" t="s">
        <v>9</v>
      </c>
      <c r="B31" s="0" t="s">
        <v>232</v>
      </c>
      <c r="C31" s="0" t="n">
        <v>952.6882</v>
      </c>
      <c r="D31" s="0" t="n">
        <v>1842.7228</v>
      </c>
      <c r="E31" s="0" t="n">
        <v>3420.3176</v>
      </c>
      <c r="F31" s="0" t="n">
        <v>2049.469</v>
      </c>
    </row>
    <row r="32" customFormat="false" ht="15" hidden="false" customHeight="false" outlineLevel="0" collapsed="false">
      <c r="A32" s="0" t="s">
        <v>9</v>
      </c>
      <c r="B32" s="0" t="s">
        <v>233</v>
      </c>
      <c r="F32" s="0" t="n">
        <v>0.9302</v>
      </c>
    </row>
    <row r="33" customFormat="false" ht="15" hidden="false" customHeight="false" outlineLevel="0" collapsed="false">
      <c r="A33" s="0" t="s">
        <v>9</v>
      </c>
      <c r="B33" s="0" t="s">
        <v>234</v>
      </c>
      <c r="F33" s="0" t="n">
        <v>0.6557</v>
      </c>
    </row>
    <row r="34" customFormat="false" ht="15" hidden="false" customHeight="false" outlineLevel="0" collapsed="false">
      <c r="A34" s="0" t="s">
        <v>9</v>
      </c>
      <c r="B34" s="0" t="s">
        <v>235</v>
      </c>
      <c r="F34" s="0" t="n">
        <v>0.8014</v>
      </c>
    </row>
    <row r="35" customFormat="false" ht="15" hidden="false" customHeight="false" outlineLevel="0" collapsed="false">
      <c r="A35" s="0" t="s">
        <v>9</v>
      </c>
      <c r="B35" s="0" t="s">
        <v>236</v>
      </c>
      <c r="F35" s="0" t="n">
        <v>0.4846</v>
      </c>
    </row>
    <row r="36" customFormat="false" ht="15" hidden="false" customHeight="false" outlineLevel="0" collapsed="false">
      <c r="A36" s="0" t="s">
        <v>9</v>
      </c>
      <c r="B36" s="0" t="s">
        <v>237</v>
      </c>
      <c r="F36" s="0" t="n">
        <v>0.6771</v>
      </c>
    </row>
    <row r="37" customFormat="false" ht="15" hidden="false" customHeight="false" outlineLevel="0" collapsed="false">
      <c r="A37" s="0" t="s">
        <v>9</v>
      </c>
      <c r="B37" s="0" t="s">
        <v>238</v>
      </c>
      <c r="F37" s="0" t="n">
        <v>0.9999</v>
      </c>
    </row>
    <row r="38" customFormat="false" ht="15" hidden="false" customHeight="false" outlineLevel="0" collapsed="false">
      <c r="A38" s="0" t="s">
        <v>9</v>
      </c>
      <c r="B38" s="0" t="s">
        <v>239</v>
      </c>
      <c r="F38" s="0" t="n">
        <v>0</v>
      </c>
    </row>
    <row r="39" customFormat="false" ht="15" hidden="false" customHeight="false" outlineLevel="0" collapsed="false">
      <c r="A39" s="0" t="s">
        <v>9</v>
      </c>
      <c r="B39" s="0" t="s">
        <v>240</v>
      </c>
      <c r="F39" s="0" t="n">
        <v>0.0032</v>
      </c>
    </row>
    <row r="40" customFormat="false" ht="15" hidden="false" customHeight="false" outlineLevel="0" collapsed="false">
      <c r="A40" s="0" t="s">
        <v>9</v>
      </c>
      <c r="B40" s="0" t="s">
        <v>241</v>
      </c>
      <c r="F40" s="0" t="n">
        <v>0.1495</v>
      </c>
    </row>
    <row r="41" customFormat="false" ht="15" hidden="false" customHeight="false" outlineLevel="0" collapsed="false">
      <c r="A41" s="0" t="s">
        <v>10</v>
      </c>
      <c r="B41" s="0" t="s">
        <v>204</v>
      </c>
      <c r="C41" s="0" t="n">
        <v>1439.907</v>
      </c>
      <c r="D41" s="0" t="n">
        <v>2414.5269</v>
      </c>
      <c r="E41" s="0" t="n">
        <v>3880.9465</v>
      </c>
      <c r="F41" s="0" t="n">
        <v>2552.5168</v>
      </c>
    </row>
    <row r="42" customFormat="false" ht="15" hidden="false" customHeight="false" outlineLevel="0" collapsed="false">
      <c r="A42" s="0" t="s">
        <v>10</v>
      </c>
      <c r="B42" s="0" t="s">
        <v>205</v>
      </c>
      <c r="C42" s="0" t="n">
        <v>2746.5003</v>
      </c>
      <c r="D42" s="0" t="n">
        <v>4623.3073</v>
      </c>
      <c r="E42" s="0" t="n">
        <v>7461.0776</v>
      </c>
      <c r="F42" s="0" t="n">
        <v>4900.3818</v>
      </c>
    </row>
    <row r="43" customFormat="false" ht="15" hidden="false" customHeight="false" outlineLevel="0" collapsed="false">
      <c r="A43" s="0" t="s">
        <v>10</v>
      </c>
      <c r="B43" s="0" t="s">
        <v>206</v>
      </c>
      <c r="C43" s="0" t="n">
        <v>0.5179</v>
      </c>
      <c r="D43" s="0" t="n">
        <v>0.6011</v>
      </c>
      <c r="E43" s="0" t="n">
        <v>0.6843</v>
      </c>
      <c r="F43" s="0" t="n">
        <v>0.6009</v>
      </c>
    </row>
    <row r="44" customFormat="false" ht="15" hidden="false" customHeight="false" outlineLevel="0" collapsed="false">
      <c r="A44" s="0" t="s">
        <v>10</v>
      </c>
      <c r="B44" s="0" t="s">
        <v>207</v>
      </c>
      <c r="C44" s="0" t="n">
        <v>31.2484</v>
      </c>
      <c r="D44" s="0" t="n">
        <v>51.0497</v>
      </c>
      <c r="E44" s="0" t="n">
        <v>78.7743</v>
      </c>
      <c r="F44" s="0" t="n">
        <v>53.4096</v>
      </c>
    </row>
    <row r="45" customFormat="false" ht="15" hidden="false" customHeight="false" outlineLevel="0" collapsed="false">
      <c r="A45" s="0" t="s">
        <v>10</v>
      </c>
      <c r="B45" s="0" t="s">
        <v>208</v>
      </c>
      <c r="C45" s="0" t="n">
        <v>18.2495</v>
      </c>
      <c r="D45" s="0" t="n">
        <v>34.1269</v>
      </c>
      <c r="E45" s="0" t="n">
        <v>57.8551</v>
      </c>
      <c r="F45" s="0" t="n">
        <v>36.4607</v>
      </c>
    </row>
    <row r="46" customFormat="false" ht="15" hidden="false" customHeight="false" outlineLevel="0" collapsed="false">
      <c r="A46" s="0" t="s">
        <v>10</v>
      </c>
      <c r="B46" s="0" t="s">
        <v>209</v>
      </c>
      <c r="C46" s="0" t="n">
        <v>0.5681</v>
      </c>
      <c r="D46" s="0" t="n">
        <v>0.6892</v>
      </c>
      <c r="E46" s="0" t="n">
        <v>0.7912</v>
      </c>
      <c r="F46" s="0" t="n">
        <v>0.6839</v>
      </c>
    </row>
    <row r="47" customFormat="false" ht="15" hidden="false" customHeight="false" outlineLevel="0" collapsed="false">
      <c r="A47" s="0" t="s">
        <v>10</v>
      </c>
      <c r="B47" s="0" t="s">
        <v>210</v>
      </c>
      <c r="C47" s="0" t="n">
        <v>1959.6495</v>
      </c>
      <c r="D47" s="0" t="n">
        <v>2387.3938</v>
      </c>
      <c r="E47" s="0" t="n">
        <v>2879.8719</v>
      </c>
      <c r="F47" s="0" t="n">
        <v>2405.459</v>
      </c>
    </row>
    <row r="48" customFormat="false" ht="15" hidden="false" customHeight="false" outlineLevel="0" collapsed="false">
      <c r="A48" s="0" t="s">
        <v>10</v>
      </c>
      <c r="B48" s="0" t="s">
        <v>211</v>
      </c>
      <c r="C48" s="0" t="n">
        <v>1009.3955</v>
      </c>
      <c r="D48" s="0" t="n">
        <v>1391.1532</v>
      </c>
      <c r="E48" s="0" t="n">
        <v>1852.6857</v>
      </c>
      <c r="F48" s="0" t="n">
        <v>1414.2178</v>
      </c>
    </row>
    <row r="49" customFormat="false" ht="15" hidden="false" customHeight="false" outlineLevel="0" collapsed="false">
      <c r="A49" s="0" t="s">
        <v>10</v>
      </c>
      <c r="B49" s="0" t="s">
        <v>212</v>
      </c>
      <c r="C49" s="0" t="n">
        <v>433.0572</v>
      </c>
      <c r="D49" s="0" t="n">
        <v>742.3214</v>
      </c>
      <c r="E49" s="0" t="n">
        <v>1157.9245</v>
      </c>
      <c r="F49" s="0" t="n">
        <v>774.5436</v>
      </c>
    </row>
    <row r="50" customFormat="false" ht="15" hidden="false" customHeight="false" outlineLevel="0" collapsed="false">
      <c r="A50" s="0" t="s">
        <v>10</v>
      </c>
      <c r="B50" s="0" t="s">
        <v>213</v>
      </c>
      <c r="C50" s="0" t="n">
        <v>3407.6766</v>
      </c>
      <c r="D50" s="0" t="n">
        <v>6017.2791</v>
      </c>
      <c r="E50" s="0" t="n">
        <v>9675.5483</v>
      </c>
      <c r="F50" s="0" t="n">
        <v>6336.0516</v>
      </c>
    </row>
    <row r="51" customFormat="false" ht="15" hidden="false" customHeight="false" outlineLevel="0" collapsed="false">
      <c r="A51" s="0" t="s">
        <v>10</v>
      </c>
      <c r="B51" s="0" t="s">
        <v>214</v>
      </c>
      <c r="C51" s="0" t="n">
        <v>5.3454</v>
      </c>
      <c r="D51" s="0" t="n">
        <v>9.4548</v>
      </c>
      <c r="E51" s="0" t="n">
        <v>15.4855</v>
      </c>
      <c r="F51" s="0" t="n">
        <v>10.0222</v>
      </c>
    </row>
    <row r="52" customFormat="false" ht="15" hidden="false" customHeight="false" outlineLevel="0" collapsed="false">
      <c r="A52" s="0" t="s">
        <v>10</v>
      </c>
      <c r="B52" s="0" t="s">
        <v>215</v>
      </c>
      <c r="C52" s="0" t="n">
        <v>8409.9122</v>
      </c>
      <c r="D52" s="0" t="n">
        <v>12812.6494</v>
      </c>
      <c r="E52" s="0" t="n">
        <v>19941.9496</v>
      </c>
      <c r="F52" s="0" t="n">
        <v>13617.9593</v>
      </c>
    </row>
    <row r="53" customFormat="false" ht="15" hidden="false" customHeight="false" outlineLevel="0" collapsed="false">
      <c r="A53" s="0" t="s">
        <v>10</v>
      </c>
      <c r="B53" s="0" t="s">
        <v>216</v>
      </c>
      <c r="C53" s="0" t="n">
        <v>13.1232</v>
      </c>
      <c r="D53" s="0" t="n">
        <v>20.1582</v>
      </c>
      <c r="E53" s="0" t="n">
        <v>31.7244</v>
      </c>
      <c r="F53" s="0" t="n">
        <v>21.5246</v>
      </c>
    </row>
    <row r="54" customFormat="false" ht="15" hidden="false" customHeight="false" outlineLevel="0" collapsed="false">
      <c r="A54" s="0" t="s">
        <v>10</v>
      </c>
      <c r="B54" s="0" t="s">
        <v>217</v>
      </c>
      <c r="C54" s="0" t="n">
        <v>1.4986</v>
      </c>
      <c r="D54" s="0" t="n">
        <v>2.1291</v>
      </c>
      <c r="E54" s="0" t="n">
        <v>2.9465</v>
      </c>
      <c r="F54" s="0" t="n">
        <v>2.184</v>
      </c>
    </row>
    <row r="55" customFormat="false" ht="15" hidden="false" customHeight="false" outlineLevel="0" collapsed="false">
      <c r="A55" s="0" t="s">
        <v>10</v>
      </c>
      <c r="B55" s="0" t="s">
        <v>218</v>
      </c>
      <c r="C55" s="0" t="n">
        <v>8046.2793</v>
      </c>
      <c r="D55" s="0" t="n">
        <v>10966.9396</v>
      </c>
      <c r="E55" s="0" t="n">
        <v>14676.9395</v>
      </c>
      <c r="F55" s="0" t="n">
        <v>11201.943</v>
      </c>
    </row>
    <row r="56" customFormat="false" ht="15" hidden="false" customHeight="false" outlineLevel="0" collapsed="false">
      <c r="A56" s="0" t="s">
        <v>10</v>
      </c>
      <c r="B56" s="0" t="s">
        <v>219</v>
      </c>
      <c r="C56" s="0" t="n">
        <v>5194.2907</v>
      </c>
      <c r="D56" s="0" t="n">
        <v>6987.0912</v>
      </c>
      <c r="E56" s="0" t="n">
        <v>9284.6975</v>
      </c>
      <c r="F56" s="0" t="n">
        <v>7135.4024</v>
      </c>
    </row>
    <row r="57" customFormat="false" ht="15" hidden="false" customHeight="false" outlineLevel="0" collapsed="false">
      <c r="A57" s="0" t="s">
        <v>10</v>
      </c>
      <c r="B57" s="0" t="s">
        <v>220</v>
      </c>
      <c r="C57" s="0" t="n">
        <v>11.9596</v>
      </c>
      <c r="D57" s="0" t="n">
        <v>16.7673</v>
      </c>
      <c r="E57" s="0" t="n">
        <v>23.3099</v>
      </c>
      <c r="F57" s="0" t="n">
        <v>17.2904</v>
      </c>
    </row>
    <row r="58" customFormat="false" ht="15" hidden="false" customHeight="false" outlineLevel="0" collapsed="false">
      <c r="A58" s="0" t="s">
        <v>10</v>
      </c>
      <c r="B58" s="0" t="s">
        <v>221</v>
      </c>
      <c r="C58" s="0" t="n">
        <v>7.7523</v>
      </c>
      <c r="D58" s="0" t="n">
        <v>10.7308</v>
      </c>
      <c r="E58" s="0" t="n">
        <v>14.7085</v>
      </c>
      <c r="F58" s="0" t="n">
        <v>11.0086</v>
      </c>
    </row>
    <row r="59" customFormat="false" ht="15" hidden="false" customHeight="false" outlineLevel="0" collapsed="false">
      <c r="A59" s="0" t="s">
        <v>10</v>
      </c>
      <c r="B59" s="0" t="s">
        <v>222</v>
      </c>
      <c r="C59" s="0" t="n">
        <v>139.4404</v>
      </c>
      <c r="D59" s="0" t="n">
        <v>213.3781</v>
      </c>
      <c r="E59" s="0" t="n">
        <v>346.7419</v>
      </c>
      <c r="F59" s="0" t="n">
        <v>231.9177</v>
      </c>
    </row>
    <row r="60" customFormat="false" ht="15" hidden="false" customHeight="false" outlineLevel="0" collapsed="false">
      <c r="A60" s="0" t="s">
        <v>10</v>
      </c>
      <c r="B60" s="0" t="s">
        <v>223</v>
      </c>
      <c r="C60" s="0" t="n">
        <v>88.6676</v>
      </c>
      <c r="D60" s="0" t="n">
        <v>136.468</v>
      </c>
      <c r="E60" s="0" t="n">
        <v>221.5</v>
      </c>
      <c r="F60" s="0" t="n">
        <v>148.1944</v>
      </c>
    </row>
    <row r="61" customFormat="false" ht="15" hidden="false" customHeight="false" outlineLevel="0" collapsed="false">
      <c r="A61" s="0" t="s">
        <v>10</v>
      </c>
      <c r="B61" s="0" t="s">
        <v>224</v>
      </c>
      <c r="C61" s="0" t="n">
        <v>90.2135</v>
      </c>
      <c r="D61" s="0" t="n">
        <v>185.9929</v>
      </c>
      <c r="E61" s="0" t="n">
        <v>363.7337</v>
      </c>
      <c r="F61" s="0" t="n">
        <v>210.8809</v>
      </c>
    </row>
    <row r="62" customFormat="false" ht="15" hidden="false" customHeight="false" outlineLevel="0" collapsed="false">
      <c r="A62" s="0" t="s">
        <v>10</v>
      </c>
      <c r="B62" s="0" t="s">
        <v>225</v>
      </c>
      <c r="C62" s="0" t="n">
        <v>171.6796</v>
      </c>
      <c r="D62" s="0" t="n">
        <v>356.8366</v>
      </c>
      <c r="E62" s="0" t="n">
        <v>698.6383</v>
      </c>
      <c r="F62" s="0" t="n">
        <v>404.9599</v>
      </c>
    </row>
    <row r="63" customFormat="false" ht="15" hidden="false" customHeight="false" outlineLevel="0" collapsed="false">
      <c r="A63" s="0" t="s">
        <v>10</v>
      </c>
      <c r="B63" s="0" t="s">
        <v>226</v>
      </c>
      <c r="C63" s="0" t="n">
        <v>9.0991</v>
      </c>
      <c r="D63" s="0" t="n">
        <v>63.4073</v>
      </c>
      <c r="E63" s="0" t="n">
        <v>160.8588</v>
      </c>
      <c r="F63" s="0" t="n">
        <v>76.1858</v>
      </c>
    </row>
    <row r="64" customFormat="false" ht="15" hidden="false" customHeight="false" outlineLevel="0" collapsed="false">
      <c r="A64" s="0" t="s">
        <v>10</v>
      </c>
      <c r="B64" s="0" t="s">
        <v>227</v>
      </c>
      <c r="C64" s="0" t="n">
        <v>18.5531</v>
      </c>
      <c r="D64" s="0" t="n">
        <v>74.7869</v>
      </c>
      <c r="E64" s="0" t="n">
        <v>173.3113</v>
      </c>
      <c r="F64" s="0" t="n">
        <v>87.3625</v>
      </c>
    </row>
    <row r="65" customFormat="false" ht="15" hidden="false" customHeight="false" outlineLevel="0" collapsed="false">
      <c r="A65" s="0" t="s">
        <v>10</v>
      </c>
      <c r="B65" s="0" t="s">
        <v>228</v>
      </c>
      <c r="C65" s="0" t="n">
        <v>19.9327</v>
      </c>
      <c r="D65" s="0" t="n">
        <v>27.9455</v>
      </c>
      <c r="E65" s="0" t="n">
        <v>38.8498</v>
      </c>
      <c r="F65" s="0" t="n">
        <v>28.8173</v>
      </c>
    </row>
    <row r="66" customFormat="false" ht="15" hidden="false" customHeight="false" outlineLevel="0" collapsed="false">
      <c r="A66" s="0" t="s">
        <v>10</v>
      </c>
      <c r="B66" s="0" t="s">
        <v>229</v>
      </c>
      <c r="C66" s="0" t="n">
        <v>15.5045</v>
      </c>
      <c r="D66" s="0" t="n">
        <v>21.4617</v>
      </c>
      <c r="E66" s="0" t="n">
        <v>29.4169</v>
      </c>
      <c r="F66" s="0" t="n">
        <v>22.0173</v>
      </c>
    </row>
    <row r="67" customFormat="false" ht="15" hidden="false" customHeight="false" outlineLevel="0" collapsed="false">
      <c r="A67" s="0" t="s">
        <v>10</v>
      </c>
      <c r="B67" s="0" t="s">
        <v>230</v>
      </c>
      <c r="C67" s="0" t="n">
        <v>232.4006</v>
      </c>
      <c r="D67" s="0" t="n">
        <v>355.6302</v>
      </c>
      <c r="E67" s="0" t="n">
        <v>577.9031</v>
      </c>
      <c r="F67" s="0" t="n">
        <v>386.5295</v>
      </c>
    </row>
    <row r="68" customFormat="false" ht="15" hidden="false" customHeight="false" outlineLevel="0" collapsed="false">
      <c r="A68" s="0" t="s">
        <v>10</v>
      </c>
      <c r="B68" s="0" t="s">
        <v>231</v>
      </c>
      <c r="C68" s="0" t="n">
        <v>177.3352</v>
      </c>
      <c r="D68" s="0" t="n">
        <v>272.9361</v>
      </c>
      <c r="E68" s="0" t="n">
        <v>443.0001</v>
      </c>
      <c r="F68" s="0" t="n">
        <v>296.3887</v>
      </c>
    </row>
    <row r="69" customFormat="false" ht="15" hidden="false" customHeight="false" outlineLevel="0" collapsed="false">
      <c r="A69" s="0" t="s">
        <v>10</v>
      </c>
      <c r="B69" s="0" t="s">
        <v>232</v>
      </c>
      <c r="C69" s="0" t="n">
        <v>5978.9111</v>
      </c>
      <c r="D69" s="0" t="n">
        <v>12132.9463</v>
      </c>
      <c r="E69" s="0" t="n">
        <v>23152.8862</v>
      </c>
      <c r="F69" s="0" t="n">
        <v>13635.2843</v>
      </c>
    </row>
    <row r="70" customFormat="false" ht="15" hidden="false" customHeight="false" outlineLevel="0" collapsed="false">
      <c r="A70" s="0" t="s">
        <v>10</v>
      </c>
      <c r="B70" s="0" t="s">
        <v>233</v>
      </c>
      <c r="F70" s="0" t="n">
        <v>1</v>
      </c>
    </row>
    <row r="71" customFormat="false" ht="15" hidden="false" customHeight="false" outlineLevel="0" collapsed="false">
      <c r="A71" s="0" t="s">
        <v>10</v>
      </c>
      <c r="B71" s="0" t="s">
        <v>234</v>
      </c>
      <c r="F71" s="0" t="n">
        <v>0.9997</v>
      </c>
    </row>
    <row r="72" customFormat="false" ht="15" hidden="false" customHeight="false" outlineLevel="0" collapsed="false">
      <c r="A72" s="0" t="s">
        <v>10</v>
      </c>
      <c r="B72" s="0" t="s">
        <v>235</v>
      </c>
      <c r="F72" s="0" t="n">
        <v>1</v>
      </c>
    </row>
    <row r="73" customFormat="false" ht="15" hidden="false" customHeight="false" outlineLevel="0" collapsed="false">
      <c r="A73" s="0" t="s">
        <v>10</v>
      </c>
      <c r="B73" s="0" t="s">
        <v>236</v>
      </c>
      <c r="F73" s="0" t="n">
        <v>0.7905</v>
      </c>
    </row>
    <row r="74" customFormat="false" ht="15" hidden="false" customHeight="false" outlineLevel="0" collapsed="false">
      <c r="A74" s="0" t="s">
        <v>10</v>
      </c>
      <c r="B74" s="0" t="s">
        <v>237</v>
      </c>
      <c r="F74" s="0" t="n">
        <v>0.8347</v>
      </c>
    </row>
    <row r="75" customFormat="false" ht="15" hidden="false" customHeight="false" outlineLevel="0" collapsed="false">
      <c r="A75" s="0" t="s">
        <v>10</v>
      </c>
      <c r="B75" s="0" t="s">
        <v>238</v>
      </c>
      <c r="F75" s="0" t="n">
        <v>0.887</v>
      </c>
    </row>
    <row r="76" customFormat="false" ht="15" hidden="false" customHeight="false" outlineLevel="0" collapsed="false">
      <c r="A76" s="0" t="s">
        <v>10</v>
      </c>
      <c r="B76" s="0" t="s">
        <v>239</v>
      </c>
      <c r="F76" s="0" t="n">
        <v>0.0344</v>
      </c>
    </row>
    <row r="77" customFormat="false" ht="15" hidden="false" customHeight="false" outlineLevel="0" collapsed="false">
      <c r="A77" s="0" t="s">
        <v>10</v>
      </c>
      <c r="B77" s="0" t="s">
        <v>240</v>
      </c>
      <c r="F77" s="0" t="n">
        <v>0.3537</v>
      </c>
    </row>
    <row r="78" customFormat="false" ht="15" hidden="false" customHeight="false" outlineLevel="0" collapsed="false">
      <c r="A78" s="0" t="s">
        <v>10</v>
      </c>
      <c r="B78" s="0" t="s">
        <v>241</v>
      </c>
      <c r="F78" s="0" t="n">
        <v>0.655</v>
      </c>
    </row>
    <row r="79" customFormat="false" ht="15" hidden="false" customHeight="false" outlineLevel="0" collapsed="false">
      <c r="A79" s="0" t="s">
        <v>11</v>
      </c>
      <c r="B79" s="0" t="s">
        <v>204</v>
      </c>
      <c r="C79" s="0" t="n">
        <v>1864.6906</v>
      </c>
      <c r="D79" s="0" t="n">
        <v>2736.7817</v>
      </c>
      <c r="E79" s="0" t="n">
        <v>3848.1701</v>
      </c>
      <c r="F79" s="0" t="n">
        <v>2807.3554</v>
      </c>
    </row>
    <row r="80" customFormat="false" ht="15" hidden="false" customHeight="false" outlineLevel="0" collapsed="false">
      <c r="A80" s="0" t="s">
        <v>11</v>
      </c>
      <c r="B80" s="0" t="s">
        <v>205</v>
      </c>
      <c r="C80" s="0" t="n">
        <v>4410.9265</v>
      </c>
      <c r="D80" s="0" t="n">
        <v>6472.6171</v>
      </c>
      <c r="E80" s="0" t="n">
        <v>9118.9543</v>
      </c>
      <c r="F80" s="0" t="n">
        <v>6638.2595</v>
      </c>
    </row>
    <row r="81" customFormat="false" ht="15" hidden="false" customHeight="false" outlineLevel="0" collapsed="false">
      <c r="A81" s="0" t="s">
        <v>11</v>
      </c>
      <c r="B81" s="0" t="s">
        <v>206</v>
      </c>
      <c r="C81" s="0" t="n">
        <v>0.7895</v>
      </c>
      <c r="D81" s="0" t="n">
        <v>0.837</v>
      </c>
      <c r="E81" s="0" t="n">
        <v>0.8835</v>
      </c>
      <c r="F81" s="0" t="n">
        <v>0.8367</v>
      </c>
    </row>
    <row r="82" customFormat="false" ht="15" hidden="false" customHeight="false" outlineLevel="0" collapsed="false">
      <c r="A82" s="0" t="s">
        <v>11</v>
      </c>
      <c r="B82" s="0" t="s">
        <v>207</v>
      </c>
      <c r="C82" s="0" t="n">
        <v>9.9246</v>
      </c>
      <c r="D82" s="0" t="n">
        <v>17.3898</v>
      </c>
      <c r="E82" s="0" t="n">
        <v>28.3651</v>
      </c>
      <c r="F82" s="0" t="n">
        <v>18.4356</v>
      </c>
    </row>
    <row r="83" customFormat="false" ht="15" hidden="false" customHeight="false" outlineLevel="0" collapsed="false">
      <c r="A83" s="0" t="s">
        <v>11</v>
      </c>
      <c r="B83" s="0" t="s">
        <v>208</v>
      </c>
      <c r="C83" s="0" t="n">
        <v>5.9559</v>
      </c>
      <c r="D83" s="0" t="n">
        <v>11.5448</v>
      </c>
      <c r="E83" s="0" t="n">
        <v>20.4433</v>
      </c>
      <c r="F83" s="0" t="n">
        <v>12.5672</v>
      </c>
    </row>
    <row r="84" customFormat="false" ht="15" hidden="false" customHeight="false" outlineLevel="0" collapsed="false">
      <c r="A84" s="0" t="s">
        <v>11</v>
      </c>
      <c r="B84" s="0" t="s">
        <v>209</v>
      </c>
      <c r="C84" s="0" t="n">
        <v>0.5681</v>
      </c>
      <c r="D84" s="0" t="n">
        <v>0.6892</v>
      </c>
      <c r="E84" s="0" t="n">
        <v>0.7912</v>
      </c>
      <c r="F84" s="0" t="n">
        <v>0.6839</v>
      </c>
    </row>
    <row r="85" customFormat="false" ht="15" hidden="false" customHeight="false" outlineLevel="0" collapsed="false">
      <c r="A85" s="0" t="s">
        <v>11</v>
      </c>
      <c r="B85" s="0" t="s">
        <v>210</v>
      </c>
      <c r="C85" s="0" t="n">
        <v>1666.4136</v>
      </c>
      <c r="D85" s="0" t="n">
        <v>2047.4132</v>
      </c>
      <c r="E85" s="0" t="n">
        <v>2507.1161</v>
      </c>
      <c r="F85" s="0" t="n">
        <v>2071.3398</v>
      </c>
    </row>
    <row r="86" customFormat="false" ht="15" hidden="false" customHeight="false" outlineLevel="0" collapsed="false">
      <c r="A86" s="0" t="s">
        <v>11</v>
      </c>
      <c r="B86" s="0" t="s">
        <v>211</v>
      </c>
      <c r="C86" s="0" t="n">
        <v>575.5505</v>
      </c>
      <c r="D86" s="0" t="n">
        <v>793.7087</v>
      </c>
      <c r="E86" s="0" t="n">
        <v>1064.3568</v>
      </c>
      <c r="F86" s="0" t="n">
        <v>809.4705</v>
      </c>
    </row>
    <row r="87" customFormat="false" ht="15" hidden="false" customHeight="false" outlineLevel="0" collapsed="false">
      <c r="A87" s="0" t="s">
        <v>11</v>
      </c>
      <c r="B87" s="0" t="s">
        <v>212</v>
      </c>
      <c r="C87" s="0" t="n">
        <v>243.1625</v>
      </c>
      <c r="D87" s="0" t="n">
        <v>422.6766</v>
      </c>
      <c r="E87" s="0" t="n">
        <v>653.6155</v>
      </c>
      <c r="F87" s="0" t="n">
        <v>439.1945</v>
      </c>
    </row>
    <row r="88" customFormat="false" ht="15" hidden="false" customHeight="false" outlineLevel="0" collapsed="false">
      <c r="A88" s="0" t="s">
        <v>11</v>
      </c>
      <c r="B88" s="0" t="s">
        <v>213</v>
      </c>
      <c r="C88" s="0" t="n">
        <v>1925.3439</v>
      </c>
      <c r="D88" s="0" t="n">
        <v>3421.9519</v>
      </c>
      <c r="E88" s="0" t="n">
        <v>5489.1847</v>
      </c>
      <c r="F88" s="0" t="n">
        <v>3593.2626</v>
      </c>
    </row>
    <row r="89" customFormat="false" ht="15" hidden="false" customHeight="false" outlineLevel="0" collapsed="false">
      <c r="A89" s="0" t="s">
        <v>11</v>
      </c>
      <c r="B89" s="0" t="s">
        <v>214</v>
      </c>
      <c r="C89" s="0" t="n">
        <v>2.267</v>
      </c>
      <c r="D89" s="0" t="n">
        <v>4.0185</v>
      </c>
      <c r="E89" s="0" t="n">
        <v>6.4846</v>
      </c>
      <c r="F89" s="0" t="n">
        <v>4.239</v>
      </c>
    </row>
    <row r="90" customFormat="false" ht="15" hidden="false" customHeight="false" outlineLevel="0" collapsed="false">
      <c r="A90" s="0" t="s">
        <v>11</v>
      </c>
      <c r="B90" s="0" t="s">
        <v>215</v>
      </c>
      <c r="C90" s="0" t="n">
        <v>8421.861</v>
      </c>
      <c r="D90" s="0" t="n">
        <v>12809.0314</v>
      </c>
      <c r="E90" s="0" t="n">
        <v>19920.1877</v>
      </c>
      <c r="F90" s="0" t="n">
        <v>13620.0196</v>
      </c>
    </row>
    <row r="91" customFormat="false" ht="15" hidden="false" customHeight="false" outlineLevel="0" collapsed="false">
      <c r="A91" s="0" t="s">
        <v>11</v>
      </c>
      <c r="B91" s="0" t="s">
        <v>216</v>
      </c>
      <c r="C91" s="0" t="n">
        <v>9.9073</v>
      </c>
      <c r="D91" s="0" t="n">
        <v>15.1247</v>
      </c>
      <c r="E91" s="0" t="n">
        <v>23.5465</v>
      </c>
      <c r="F91" s="0" t="n">
        <v>16.0572</v>
      </c>
    </row>
    <row r="92" customFormat="false" ht="15" hidden="false" customHeight="false" outlineLevel="0" collapsed="false">
      <c r="A92" s="0" t="s">
        <v>11</v>
      </c>
      <c r="B92" s="0" t="s">
        <v>217</v>
      </c>
      <c r="C92" s="0" t="n">
        <v>0.6678</v>
      </c>
      <c r="D92" s="0" t="n">
        <v>0.9294</v>
      </c>
      <c r="E92" s="0" t="n">
        <v>1.2574</v>
      </c>
      <c r="F92" s="0" t="n">
        <v>0.9491</v>
      </c>
    </row>
    <row r="93" customFormat="false" ht="15" hidden="false" customHeight="false" outlineLevel="0" collapsed="false">
      <c r="A93" s="0" t="s">
        <v>11</v>
      </c>
      <c r="B93" s="0" t="s">
        <v>218</v>
      </c>
      <c r="C93" s="0" t="n">
        <v>5149.2387</v>
      </c>
      <c r="D93" s="0" t="n">
        <v>7004.7498</v>
      </c>
      <c r="E93" s="0" t="n">
        <v>9400.0761</v>
      </c>
      <c r="F93" s="0" t="n">
        <v>7178.1376</v>
      </c>
    </row>
    <row r="94" customFormat="false" ht="15" hidden="false" customHeight="false" outlineLevel="0" collapsed="false">
      <c r="A94" s="0" t="s">
        <v>11</v>
      </c>
      <c r="B94" s="0" t="s">
        <v>219</v>
      </c>
      <c r="C94" s="0" t="n">
        <v>3488.9349</v>
      </c>
      <c r="D94" s="0" t="n">
        <v>4723.2604</v>
      </c>
      <c r="E94" s="0" t="n">
        <v>6374.5079</v>
      </c>
      <c r="F94" s="0" t="n">
        <v>4851.7892</v>
      </c>
    </row>
    <row r="95" customFormat="false" ht="15" hidden="false" customHeight="false" outlineLevel="0" collapsed="false">
      <c r="A95" s="0" t="s">
        <v>11</v>
      </c>
      <c r="B95" s="0" t="s">
        <v>220</v>
      </c>
      <c r="C95" s="0" t="n">
        <v>5.9734</v>
      </c>
      <c r="D95" s="0" t="n">
        <v>8.2039</v>
      </c>
      <c r="E95" s="0" t="n">
        <v>11.0922</v>
      </c>
      <c r="F95" s="0" t="n">
        <v>8.4141</v>
      </c>
    </row>
    <row r="96" customFormat="false" ht="15" hidden="false" customHeight="false" outlineLevel="0" collapsed="false">
      <c r="A96" s="0" t="s">
        <v>11</v>
      </c>
      <c r="B96" s="0" t="s">
        <v>221</v>
      </c>
      <c r="C96" s="0" t="n">
        <v>4.0472</v>
      </c>
      <c r="D96" s="0" t="n">
        <v>5.5311</v>
      </c>
      <c r="E96" s="0" t="n">
        <v>7.538</v>
      </c>
      <c r="F96" s="0" t="n">
        <v>5.6863</v>
      </c>
    </row>
    <row r="97" customFormat="false" ht="15" hidden="false" customHeight="false" outlineLevel="0" collapsed="false">
      <c r="A97" s="0" t="s">
        <v>11</v>
      </c>
      <c r="B97" s="0" t="s">
        <v>222</v>
      </c>
      <c r="C97" s="0" t="n">
        <v>247.2356</v>
      </c>
      <c r="D97" s="0" t="n">
        <v>402.4201</v>
      </c>
      <c r="E97" s="0" t="n">
        <v>704.9286</v>
      </c>
      <c r="F97" s="0" t="n">
        <v>447.234</v>
      </c>
    </row>
    <row r="98" customFormat="false" ht="15" hidden="false" customHeight="false" outlineLevel="0" collapsed="false">
      <c r="A98" s="0" t="s">
        <v>11</v>
      </c>
      <c r="B98" s="0" t="s">
        <v>223</v>
      </c>
      <c r="C98" s="0" t="n">
        <v>165.414</v>
      </c>
      <c r="D98" s="0" t="n">
        <v>271.4467</v>
      </c>
      <c r="E98" s="0" t="n">
        <v>481.7811</v>
      </c>
      <c r="F98" s="0" t="n">
        <v>302.9729</v>
      </c>
    </row>
    <row r="99" customFormat="false" ht="15" hidden="false" customHeight="false" outlineLevel="0" collapsed="false">
      <c r="A99" s="0" t="s">
        <v>11</v>
      </c>
      <c r="B99" s="0" t="s">
        <v>224</v>
      </c>
      <c r="C99" s="0" t="n">
        <v>27.7595</v>
      </c>
      <c r="D99" s="0" t="n">
        <v>54.9449</v>
      </c>
      <c r="E99" s="0" t="n">
        <v>101.9133</v>
      </c>
      <c r="F99" s="0" t="n">
        <v>61.0036</v>
      </c>
    </row>
    <row r="100" customFormat="false" ht="15" hidden="false" customHeight="false" outlineLevel="0" collapsed="false">
      <c r="A100" s="0" t="s">
        <v>11</v>
      </c>
      <c r="B100" s="0" t="s">
        <v>225</v>
      </c>
      <c r="C100" s="0" t="n">
        <v>65.5045</v>
      </c>
      <c r="D100" s="0" t="n">
        <v>130.1849</v>
      </c>
      <c r="E100" s="0" t="n">
        <v>241.2899</v>
      </c>
      <c r="F100" s="0" t="n">
        <v>144.2473</v>
      </c>
    </row>
    <row r="101" customFormat="false" ht="15" hidden="false" customHeight="false" outlineLevel="0" collapsed="false">
      <c r="A101" s="0" t="s">
        <v>11</v>
      </c>
      <c r="B101" s="0" t="s">
        <v>226</v>
      </c>
      <c r="C101" s="0" t="n">
        <v>4.4012</v>
      </c>
      <c r="D101" s="0" t="n">
        <v>20.0537</v>
      </c>
      <c r="E101" s="0" t="n">
        <v>48.1882</v>
      </c>
      <c r="F101" s="0" t="n">
        <v>23.6236</v>
      </c>
    </row>
    <row r="102" customFormat="false" ht="15" hidden="false" customHeight="false" outlineLevel="0" collapsed="false">
      <c r="A102" s="0" t="s">
        <v>11</v>
      </c>
      <c r="B102" s="0" t="s">
        <v>227</v>
      </c>
      <c r="C102" s="0" t="n">
        <v>14.6095</v>
      </c>
      <c r="D102" s="0" t="n">
        <v>31.9357</v>
      </c>
      <c r="E102" s="0" t="n">
        <v>60.9254</v>
      </c>
      <c r="F102" s="0" t="n">
        <v>35.3592</v>
      </c>
    </row>
    <row r="103" customFormat="false" ht="15" hidden="false" customHeight="false" outlineLevel="0" collapsed="false">
      <c r="A103" s="0" t="s">
        <v>11</v>
      </c>
      <c r="B103" s="0" t="s">
        <v>228</v>
      </c>
      <c r="C103" s="0" t="n">
        <v>9.9556</v>
      </c>
      <c r="D103" s="0" t="n">
        <v>13.6732</v>
      </c>
      <c r="E103" s="0" t="n">
        <v>18.487</v>
      </c>
      <c r="F103" s="0" t="n">
        <v>14.0235</v>
      </c>
    </row>
    <row r="104" customFormat="false" ht="15" hidden="false" customHeight="false" outlineLevel="0" collapsed="false">
      <c r="A104" s="0" t="s">
        <v>11</v>
      </c>
      <c r="B104" s="0" t="s">
        <v>229</v>
      </c>
      <c r="C104" s="0" t="n">
        <v>8.0944</v>
      </c>
      <c r="D104" s="0" t="n">
        <v>11.0622</v>
      </c>
      <c r="E104" s="0" t="n">
        <v>15.0761</v>
      </c>
      <c r="F104" s="0" t="n">
        <v>11.3726</v>
      </c>
    </row>
    <row r="105" customFormat="false" ht="15" hidden="false" customHeight="false" outlineLevel="0" collapsed="false">
      <c r="A105" s="0" t="s">
        <v>11</v>
      </c>
      <c r="B105" s="0" t="s">
        <v>230</v>
      </c>
      <c r="C105" s="0" t="n">
        <v>412.0593</v>
      </c>
      <c r="D105" s="0" t="n">
        <v>670.7001</v>
      </c>
      <c r="E105" s="0" t="n">
        <v>1174.881</v>
      </c>
      <c r="F105" s="0" t="n">
        <v>745.39</v>
      </c>
    </row>
    <row r="106" customFormat="false" ht="15" hidden="false" customHeight="false" outlineLevel="0" collapsed="false">
      <c r="A106" s="0" t="s">
        <v>11</v>
      </c>
      <c r="B106" s="0" t="s">
        <v>231</v>
      </c>
      <c r="C106" s="0" t="n">
        <v>330.828</v>
      </c>
      <c r="D106" s="0" t="n">
        <v>542.8933</v>
      </c>
      <c r="E106" s="0" t="n">
        <v>963.5621</v>
      </c>
      <c r="F106" s="0" t="n">
        <v>605.9458</v>
      </c>
    </row>
    <row r="107" customFormat="false" ht="15" hidden="false" customHeight="false" outlineLevel="0" collapsed="false">
      <c r="A107" s="0" t="s">
        <v>11</v>
      </c>
      <c r="B107" s="0" t="s">
        <v>232</v>
      </c>
      <c r="C107" s="0" t="n">
        <v>2408.5243</v>
      </c>
      <c r="D107" s="0" t="n">
        <v>4692.0534</v>
      </c>
      <c r="E107" s="0" t="n">
        <v>8594.7797</v>
      </c>
      <c r="F107" s="0" t="n">
        <v>5182.1913</v>
      </c>
    </row>
    <row r="108" customFormat="false" ht="15" hidden="false" customHeight="false" outlineLevel="0" collapsed="false">
      <c r="A108" s="0" t="s">
        <v>11</v>
      </c>
      <c r="B108" s="0" t="s">
        <v>233</v>
      </c>
      <c r="F108" s="0" t="n">
        <v>1</v>
      </c>
    </row>
    <row r="109" customFormat="false" ht="15" hidden="false" customHeight="false" outlineLevel="0" collapsed="false">
      <c r="A109" s="0" t="s">
        <v>11</v>
      </c>
      <c r="B109" s="0" t="s">
        <v>234</v>
      </c>
      <c r="F109" s="0" t="n">
        <v>0.9956</v>
      </c>
    </row>
    <row r="110" customFormat="false" ht="15" hidden="false" customHeight="false" outlineLevel="0" collapsed="false">
      <c r="A110" s="0" t="s">
        <v>11</v>
      </c>
      <c r="B110" s="0" t="s">
        <v>235</v>
      </c>
      <c r="F110" s="0" t="n">
        <v>0.9985</v>
      </c>
    </row>
    <row r="111" customFormat="false" ht="15" hidden="false" customHeight="false" outlineLevel="0" collapsed="false">
      <c r="A111" s="0" t="s">
        <v>11</v>
      </c>
      <c r="B111" s="0" t="s">
        <v>236</v>
      </c>
      <c r="F111" s="0" t="n">
        <v>0.6834</v>
      </c>
    </row>
    <row r="112" customFormat="false" ht="15" hidden="false" customHeight="false" outlineLevel="0" collapsed="false">
      <c r="A112" s="0" t="s">
        <v>11</v>
      </c>
      <c r="B112" s="0" t="s">
        <v>237</v>
      </c>
      <c r="F112" s="0" t="n">
        <v>0.7545</v>
      </c>
    </row>
    <row r="113" customFormat="false" ht="15" hidden="false" customHeight="false" outlineLevel="0" collapsed="false">
      <c r="A113" s="0" t="s">
        <v>11</v>
      </c>
      <c r="B113" s="0" t="s">
        <v>238</v>
      </c>
      <c r="F113" s="0" t="n">
        <v>0.8898</v>
      </c>
    </row>
    <row r="114" customFormat="false" ht="15" hidden="false" customHeight="false" outlineLevel="0" collapsed="false">
      <c r="A114" s="0" t="s">
        <v>11</v>
      </c>
      <c r="B114" s="0" t="s">
        <v>239</v>
      </c>
      <c r="F114" s="0" t="n">
        <v>0.0133</v>
      </c>
    </row>
    <row r="115" customFormat="false" ht="15" hidden="false" customHeight="false" outlineLevel="0" collapsed="false">
      <c r="A115" s="0" t="s">
        <v>11</v>
      </c>
      <c r="B115" s="0" t="s">
        <v>240</v>
      </c>
      <c r="F115" s="0" t="n">
        <v>0.1915</v>
      </c>
    </row>
    <row r="116" customFormat="false" ht="15" hidden="false" customHeight="false" outlineLevel="0" collapsed="false">
      <c r="A116" s="0" t="s">
        <v>11</v>
      </c>
      <c r="B116" s="0" t="s">
        <v>241</v>
      </c>
      <c r="F116" s="0" t="n">
        <v>0.9366</v>
      </c>
    </row>
    <row r="117" customFormat="false" ht="15" hidden="false" customHeight="false" outlineLevel="0" collapsed="false">
      <c r="A117" s="0" t="s">
        <v>12</v>
      </c>
      <c r="B117" s="0" t="s">
        <v>204</v>
      </c>
      <c r="C117" s="0" t="n">
        <v>1169.6513</v>
      </c>
      <c r="D117" s="0" t="n">
        <v>1940.7151</v>
      </c>
      <c r="E117" s="0" t="n">
        <v>3124.7694</v>
      </c>
      <c r="F117" s="0" t="n">
        <v>2061.0701</v>
      </c>
    </row>
    <row r="118" customFormat="false" ht="15" hidden="false" customHeight="false" outlineLevel="0" collapsed="false">
      <c r="A118" s="0" t="s">
        <v>12</v>
      </c>
      <c r="B118" s="0" t="s">
        <v>205</v>
      </c>
      <c r="C118" s="0" t="n">
        <v>2860.6316</v>
      </c>
      <c r="D118" s="0" t="n">
        <v>4747.9496</v>
      </c>
      <c r="E118" s="0" t="n">
        <v>7664.7297</v>
      </c>
      <c r="F118" s="0" t="n">
        <v>5049.9988</v>
      </c>
    </row>
    <row r="119" customFormat="false" ht="15" hidden="false" customHeight="false" outlineLevel="0" collapsed="false">
      <c r="A119" s="0" t="s">
        <v>12</v>
      </c>
      <c r="B119" s="0" t="s">
        <v>206</v>
      </c>
      <c r="C119" s="0" t="n">
        <v>0.7453</v>
      </c>
      <c r="D119" s="0" t="n">
        <v>0.8</v>
      </c>
      <c r="E119" s="0" t="n">
        <v>0.8556</v>
      </c>
      <c r="F119" s="0" t="n">
        <v>0.8001</v>
      </c>
    </row>
    <row r="120" customFormat="false" ht="15" hidden="false" customHeight="false" outlineLevel="0" collapsed="false">
      <c r="A120" s="0" t="s">
        <v>12</v>
      </c>
      <c r="B120" s="0" t="s">
        <v>207</v>
      </c>
      <c r="C120" s="0" t="n">
        <v>12.1963</v>
      </c>
      <c r="D120" s="0" t="n">
        <v>21.1772</v>
      </c>
      <c r="E120" s="0" t="n">
        <v>34.5436</v>
      </c>
      <c r="F120" s="0" t="n">
        <v>22.4461</v>
      </c>
    </row>
    <row r="121" customFormat="false" ht="15" hidden="false" customHeight="false" outlineLevel="0" collapsed="false">
      <c r="A121" s="0" t="s">
        <v>12</v>
      </c>
      <c r="B121" s="0" t="s">
        <v>208</v>
      </c>
      <c r="C121" s="0" t="n">
        <v>7.2443</v>
      </c>
      <c r="D121" s="0" t="n">
        <v>14.134</v>
      </c>
      <c r="E121" s="0" t="n">
        <v>24.9642</v>
      </c>
      <c r="F121" s="0" t="n">
        <v>15.3066</v>
      </c>
    </row>
    <row r="122" customFormat="false" ht="15" hidden="false" customHeight="false" outlineLevel="0" collapsed="false">
      <c r="A122" s="0" t="s">
        <v>12</v>
      </c>
      <c r="B122" s="0" t="s">
        <v>209</v>
      </c>
      <c r="C122" s="0" t="n">
        <v>0.5681</v>
      </c>
      <c r="D122" s="0" t="n">
        <v>0.6892</v>
      </c>
      <c r="E122" s="0" t="n">
        <v>0.7912</v>
      </c>
      <c r="F122" s="0" t="n">
        <v>0.6839</v>
      </c>
    </row>
    <row r="123" customFormat="false" ht="15" hidden="false" customHeight="false" outlineLevel="0" collapsed="false">
      <c r="A123" s="0" t="s">
        <v>12</v>
      </c>
      <c r="B123" s="0" t="s">
        <v>210</v>
      </c>
      <c r="C123" s="0" t="n">
        <v>1691.4581</v>
      </c>
      <c r="D123" s="0" t="n">
        <v>2082.7488</v>
      </c>
      <c r="E123" s="0" t="n">
        <v>2536.1667</v>
      </c>
      <c r="F123" s="0" t="n">
        <v>2101.2455</v>
      </c>
    </row>
    <row r="124" customFormat="false" ht="15" hidden="false" customHeight="false" outlineLevel="0" collapsed="false">
      <c r="A124" s="0" t="s">
        <v>12</v>
      </c>
      <c r="B124" s="0" t="s">
        <v>211</v>
      </c>
      <c r="C124" s="0" t="n">
        <v>724.306</v>
      </c>
      <c r="D124" s="0" t="n">
        <v>994.5944</v>
      </c>
      <c r="E124" s="0" t="n">
        <v>1309.3277</v>
      </c>
      <c r="F124" s="0" t="n">
        <v>1007.7264</v>
      </c>
    </row>
    <row r="125" customFormat="false" ht="15" hidden="false" customHeight="false" outlineLevel="0" collapsed="false">
      <c r="A125" s="0" t="s">
        <v>12</v>
      </c>
      <c r="B125" s="0" t="s">
        <v>212</v>
      </c>
      <c r="C125" s="0" t="n">
        <v>304.1443</v>
      </c>
      <c r="D125" s="0" t="n">
        <v>529.566</v>
      </c>
      <c r="E125" s="0" t="n">
        <v>812.3512</v>
      </c>
      <c r="F125" s="0" t="n">
        <v>547.1814</v>
      </c>
    </row>
    <row r="126" customFormat="false" ht="15" hidden="false" customHeight="false" outlineLevel="0" collapsed="false">
      <c r="A126" s="0" t="s">
        <v>12</v>
      </c>
      <c r="B126" s="0" t="s">
        <v>213</v>
      </c>
      <c r="C126" s="0" t="n">
        <v>2406.7117</v>
      </c>
      <c r="D126" s="0" t="n">
        <v>4277.6561</v>
      </c>
      <c r="E126" s="0" t="n">
        <v>6810.7159</v>
      </c>
      <c r="F126" s="0" t="n">
        <v>4476.7574</v>
      </c>
    </row>
    <row r="127" customFormat="false" ht="15" hidden="false" customHeight="false" outlineLevel="0" collapsed="false">
      <c r="A127" s="0" t="s">
        <v>12</v>
      </c>
      <c r="B127" s="0" t="s">
        <v>214</v>
      </c>
      <c r="C127" s="0" t="n">
        <v>2.9478</v>
      </c>
      <c r="D127" s="0" t="n">
        <v>5.2498</v>
      </c>
      <c r="E127" s="0" t="n">
        <v>8.4034</v>
      </c>
      <c r="F127" s="0" t="n">
        <v>5.5048</v>
      </c>
    </row>
    <row r="128" customFormat="false" ht="15" hidden="false" customHeight="false" outlineLevel="0" collapsed="false">
      <c r="A128" s="0" t="s">
        <v>12</v>
      </c>
      <c r="B128" s="0" t="s">
        <v>215</v>
      </c>
      <c r="C128" s="0" t="n">
        <v>8434.5627</v>
      </c>
      <c r="D128" s="0" t="n">
        <v>12838.9032</v>
      </c>
      <c r="E128" s="0" t="n">
        <v>19954.1859</v>
      </c>
      <c r="F128" s="0" t="n">
        <v>13626.0781</v>
      </c>
    </row>
    <row r="129" customFormat="false" ht="15" hidden="false" customHeight="false" outlineLevel="0" collapsed="false">
      <c r="A129" s="0" t="s">
        <v>12</v>
      </c>
      <c r="B129" s="0" t="s">
        <v>216</v>
      </c>
      <c r="C129" s="0" t="n">
        <v>10.2868</v>
      </c>
      <c r="D129" s="0" t="n">
        <v>15.7642</v>
      </c>
      <c r="E129" s="0" t="n">
        <v>24.4947</v>
      </c>
      <c r="F129" s="0" t="n">
        <v>16.7424</v>
      </c>
    </row>
    <row r="130" customFormat="false" ht="15" hidden="false" customHeight="false" outlineLevel="0" collapsed="false">
      <c r="A130" s="0" t="s">
        <v>12</v>
      </c>
      <c r="B130" s="0" t="s">
        <v>217</v>
      </c>
      <c r="C130" s="0" t="n">
        <v>0.8681</v>
      </c>
      <c r="D130" s="0" t="n">
        <v>1.2084</v>
      </c>
      <c r="E130" s="0" t="n">
        <v>1.6154</v>
      </c>
      <c r="F130" s="0" t="n">
        <v>1.2296</v>
      </c>
    </row>
    <row r="131" customFormat="false" ht="15" hidden="false" customHeight="false" outlineLevel="0" collapsed="false">
      <c r="A131" s="0" t="s">
        <v>12</v>
      </c>
      <c r="B131" s="0" t="s">
        <v>218</v>
      </c>
      <c r="C131" s="0" t="n">
        <v>6056.6453</v>
      </c>
      <c r="D131" s="0" t="n">
        <v>8271.171</v>
      </c>
      <c r="E131" s="0" t="n">
        <v>10990.8858</v>
      </c>
      <c r="F131" s="0" t="n">
        <v>8419.7595</v>
      </c>
    </row>
    <row r="132" customFormat="false" ht="15" hidden="false" customHeight="false" outlineLevel="0" collapsed="false">
      <c r="A132" s="0" t="s">
        <v>12</v>
      </c>
      <c r="B132" s="0" t="s">
        <v>219</v>
      </c>
      <c r="C132" s="0" t="n">
        <v>4003.9767</v>
      </c>
      <c r="D132" s="0" t="n">
        <v>5404.1613</v>
      </c>
      <c r="E132" s="0" t="n">
        <v>7214.5437</v>
      </c>
      <c r="F132" s="0" t="n">
        <v>5524.0316</v>
      </c>
    </row>
    <row r="133" customFormat="false" ht="15" hidden="false" customHeight="false" outlineLevel="0" collapsed="false">
      <c r="A133" s="0" t="s">
        <v>12</v>
      </c>
      <c r="B133" s="0" t="s">
        <v>220</v>
      </c>
      <c r="C133" s="0" t="n">
        <v>7.2719</v>
      </c>
      <c r="D133" s="0" t="n">
        <v>10.0483</v>
      </c>
      <c r="E133" s="0" t="n">
        <v>13.5333</v>
      </c>
      <c r="F133" s="0" t="n">
        <v>10.2698</v>
      </c>
    </row>
    <row r="134" customFormat="false" ht="15" hidden="false" customHeight="false" outlineLevel="0" collapsed="false">
      <c r="A134" s="0" t="s">
        <v>12</v>
      </c>
      <c r="B134" s="0" t="s">
        <v>221</v>
      </c>
      <c r="C134" s="0" t="n">
        <v>4.8082</v>
      </c>
      <c r="D134" s="0" t="n">
        <v>6.5785</v>
      </c>
      <c r="E134" s="0" t="n">
        <v>8.8718</v>
      </c>
      <c r="F134" s="0" t="n">
        <v>6.7366</v>
      </c>
    </row>
    <row r="135" customFormat="false" ht="15" hidden="false" customHeight="false" outlineLevel="0" collapsed="false">
      <c r="A135" s="0" t="s">
        <v>12</v>
      </c>
      <c r="B135" s="0" t="s">
        <v>222</v>
      </c>
      <c r="C135" s="0" t="n">
        <v>239.3274</v>
      </c>
      <c r="D135" s="0" t="n">
        <v>387.9925</v>
      </c>
      <c r="E135" s="0" t="n">
        <v>666.6569</v>
      </c>
      <c r="F135" s="0" t="n">
        <v>428.327</v>
      </c>
    </row>
    <row r="136" customFormat="false" ht="15" hidden="false" customHeight="false" outlineLevel="0" collapsed="false">
      <c r="A136" s="0" t="s">
        <v>12</v>
      </c>
      <c r="B136" s="0" t="s">
        <v>223</v>
      </c>
      <c r="C136" s="0" t="n">
        <v>157.0608</v>
      </c>
      <c r="D136" s="0" t="n">
        <v>254.3601</v>
      </c>
      <c r="E136" s="0" t="n">
        <v>439.9277</v>
      </c>
      <c r="F136" s="0" t="n">
        <v>281.6427</v>
      </c>
    </row>
    <row r="137" customFormat="false" ht="15" hidden="false" customHeight="false" outlineLevel="0" collapsed="false">
      <c r="A137" s="0" t="s">
        <v>12</v>
      </c>
      <c r="B137" s="0" t="s">
        <v>224</v>
      </c>
      <c r="C137" s="0" t="n">
        <v>23.3498</v>
      </c>
      <c r="D137" s="0" t="n">
        <v>49.2007</v>
      </c>
      <c r="E137" s="0" t="n">
        <v>99.9509</v>
      </c>
      <c r="F137" s="0" t="n">
        <v>56.7243</v>
      </c>
    </row>
    <row r="138" customFormat="false" ht="15" hidden="false" customHeight="false" outlineLevel="0" collapsed="false">
      <c r="A138" s="0" t="s">
        <v>12</v>
      </c>
      <c r="B138" s="0" t="s">
        <v>225</v>
      </c>
      <c r="C138" s="0" t="n">
        <v>57.1957</v>
      </c>
      <c r="D138" s="0" t="n">
        <v>120.5524</v>
      </c>
      <c r="E138" s="0" t="n">
        <v>245.2756</v>
      </c>
      <c r="F138" s="0" t="n">
        <v>138.9869</v>
      </c>
    </row>
    <row r="139" customFormat="false" ht="15" hidden="false" customHeight="false" outlineLevel="0" collapsed="false">
      <c r="A139" s="0" t="s">
        <v>12</v>
      </c>
      <c r="B139" s="0" t="s">
        <v>226</v>
      </c>
      <c r="C139" s="0" t="n">
        <v>5.7385</v>
      </c>
      <c r="D139" s="0" t="n">
        <v>19.4028</v>
      </c>
      <c r="E139" s="0" t="n">
        <v>46.8715</v>
      </c>
      <c r="F139" s="0" t="n">
        <v>23.4903</v>
      </c>
    </row>
    <row r="140" customFormat="false" ht="15" hidden="false" customHeight="false" outlineLevel="0" collapsed="false">
      <c r="A140" s="0" t="s">
        <v>12</v>
      </c>
      <c r="B140" s="0" t="s">
        <v>227</v>
      </c>
      <c r="C140" s="0" t="n">
        <v>14.6956</v>
      </c>
      <c r="D140" s="0" t="n">
        <v>30.9131</v>
      </c>
      <c r="E140" s="0" t="n">
        <v>59.2788</v>
      </c>
      <c r="F140" s="0" t="n">
        <v>34.6268</v>
      </c>
    </row>
    <row r="141" customFormat="false" ht="15" hidden="false" customHeight="false" outlineLevel="0" collapsed="false">
      <c r="A141" s="0" t="s">
        <v>12</v>
      </c>
      <c r="B141" s="0" t="s">
        <v>228</v>
      </c>
      <c r="C141" s="0" t="n">
        <v>12.1199</v>
      </c>
      <c r="D141" s="0" t="n">
        <v>16.7471</v>
      </c>
      <c r="E141" s="0" t="n">
        <v>22.5556</v>
      </c>
      <c r="F141" s="0" t="n">
        <v>17.1164</v>
      </c>
    </row>
    <row r="142" customFormat="false" ht="15" hidden="false" customHeight="false" outlineLevel="0" collapsed="false">
      <c r="A142" s="0" t="s">
        <v>12</v>
      </c>
      <c r="B142" s="0" t="s">
        <v>229</v>
      </c>
      <c r="C142" s="0" t="n">
        <v>9.6165</v>
      </c>
      <c r="D142" s="0" t="n">
        <v>13.1571</v>
      </c>
      <c r="E142" s="0" t="n">
        <v>17.7436</v>
      </c>
      <c r="F142" s="0" t="n">
        <v>13.4732</v>
      </c>
    </row>
    <row r="143" customFormat="false" ht="15" hidden="false" customHeight="false" outlineLevel="0" collapsed="false">
      <c r="A143" s="0" t="s">
        <v>12</v>
      </c>
      <c r="B143" s="0" t="s">
        <v>230</v>
      </c>
      <c r="C143" s="0" t="n">
        <v>398.879</v>
      </c>
      <c r="D143" s="0" t="n">
        <v>646.6542</v>
      </c>
      <c r="E143" s="0" t="n">
        <v>1111.0949</v>
      </c>
      <c r="F143" s="0" t="n">
        <v>713.8783</v>
      </c>
    </row>
    <row r="144" customFormat="false" ht="15" hidden="false" customHeight="false" outlineLevel="0" collapsed="false">
      <c r="A144" s="0" t="s">
        <v>12</v>
      </c>
      <c r="B144" s="0" t="s">
        <v>231</v>
      </c>
      <c r="C144" s="0" t="n">
        <v>314.1216</v>
      </c>
      <c r="D144" s="0" t="n">
        <v>508.7203</v>
      </c>
      <c r="E144" s="0" t="n">
        <v>879.8554</v>
      </c>
      <c r="F144" s="0" t="n">
        <v>563.2854</v>
      </c>
    </row>
    <row r="145" customFormat="false" ht="15" hidden="false" customHeight="false" outlineLevel="0" collapsed="false">
      <c r="A145" s="0" t="s">
        <v>12</v>
      </c>
      <c r="B145" s="0" t="s">
        <v>232</v>
      </c>
      <c r="C145" s="0" t="n">
        <v>1954.3887</v>
      </c>
      <c r="D145" s="0" t="n">
        <v>4048.3426</v>
      </c>
      <c r="E145" s="0" t="n">
        <v>8091.4964</v>
      </c>
      <c r="F145" s="0" t="n">
        <v>4628.6909</v>
      </c>
    </row>
    <row r="146" customFormat="false" ht="15" hidden="false" customHeight="false" outlineLevel="0" collapsed="false">
      <c r="A146" s="0" t="s">
        <v>12</v>
      </c>
      <c r="B146" s="0" t="s">
        <v>233</v>
      </c>
      <c r="F146" s="0" t="n">
        <v>1</v>
      </c>
    </row>
    <row r="147" customFormat="false" ht="15" hidden="false" customHeight="false" outlineLevel="0" collapsed="false">
      <c r="A147" s="0" t="s">
        <v>12</v>
      </c>
      <c r="B147" s="0" t="s">
        <v>234</v>
      </c>
      <c r="F147" s="0" t="n">
        <v>0.9728</v>
      </c>
    </row>
    <row r="148" customFormat="false" ht="15" hidden="false" customHeight="false" outlineLevel="0" collapsed="false">
      <c r="A148" s="0" t="s">
        <v>12</v>
      </c>
      <c r="B148" s="0" t="s">
        <v>235</v>
      </c>
      <c r="F148" s="0" t="n">
        <v>0.9906</v>
      </c>
    </row>
    <row r="149" customFormat="false" ht="15" hidden="false" customHeight="false" outlineLevel="0" collapsed="false">
      <c r="A149" s="0" t="s">
        <v>12</v>
      </c>
      <c r="B149" s="0" t="s">
        <v>236</v>
      </c>
      <c r="F149" s="0" t="n">
        <v>0.5775</v>
      </c>
    </row>
    <row r="150" customFormat="false" ht="15" hidden="false" customHeight="false" outlineLevel="0" collapsed="false">
      <c r="A150" s="0" t="s">
        <v>12</v>
      </c>
      <c r="B150" s="0" t="s">
        <v>237</v>
      </c>
      <c r="F150" s="0" t="n">
        <v>0.6967</v>
      </c>
    </row>
    <row r="151" customFormat="false" ht="15" hidden="false" customHeight="false" outlineLevel="0" collapsed="false">
      <c r="A151" s="0" t="s">
        <v>12</v>
      </c>
      <c r="B151" s="0" t="s">
        <v>238</v>
      </c>
      <c r="F151" s="0" t="n">
        <v>0.8843</v>
      </c>
    </row>
    <row r="152" customFormat="false" ht="15" hidden="false" customHeight="false" outlineLevel="0" collapsed="false">
      <c r="A152" s="0" t="s">
        <v>12</v>
      </c>
      <c r="B152" s="0" t="s">
        <v>239</v>
      </c>
      <c r="F152" s="0" t="n">
        <v>0.0209</v>
      </c>
    </row>
    <row r="153" customFormat="false" ht="15" hidden="false" customHeight="false" outlineLevel="0" collapsed="false">
      <c r="A153" s="0" t="s">
        <v>12</v>
      </c>
      <c r="B153" s="0" t="s">
        <v>240</v>
      </c>
      <c r="F153" s="0" t="n">
        <v>0.2706</v>
      </c>
    </row>
    <row r="154" customFormat="false" ht="15" hidden="false" customHeight="false" outlineLevel="0" collapsed="false">
      <c r="A154" s="0" t="s">
        <v>12</v>
      </c>
      <c r="B154" s="0" t="s">
        <v>241</v>
      </c>
      <c r="F154" s="0" t="n">
        <v>0.8697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15" min="3" style="0" width="18"/>
  </cols>
  <sheetData>
    <row r="1" customFormat="false" ht="15" hidden="false" customHeight="false" outlineLevel="0" collapsed="false">
      <c r="A1" s="4" t="s">
        <v>242</v>
      </c>
    </row>
    <row r="2" customFormat="false" ht="15" hidden="false" customHeight="false" outlineLevel="0" collapsed="false">
      <c r="A2" s="1" t="s">
        <v>198</v>
      </c>
      <c r="B2" s="1" t="s">
        <v>243</v>
      </c>
      <c r="C2" s="1" t="s">
        <v>244</v>
      </c>
      <c r="D2" s="1" t="s">
        <v>245</v>
      </c>
      <c r="E2" s="1" t="s">
        <v>246</v>
      </c>
      <c r="F2" s="1" t="s">
        <v>247</v>
      </c>
      <c r="G2" s="1" t="s">
        <v>248</v>
      </c>
      <c r="H2" s="1" t="s">
        <v>249</v>
      </c>
      <c r="I2" s="1" t="s">
        <v>250</v>
      </c>
      <c r="J2" s="1" t="s">
        <v>251</v>
      </c>
      <c r="K2" s="1" t="s">
        <v>252</v>
      </c>
      <c r="L2" s="1" t="s">
        <v>253</v>
      </c>
      <c r="M2" s="1" t="s">
        <v>254</v>
      </c>
      <c r="N2" s="1" t="s">
        <v>255</v>
      </c>
    </row>
    <row r="3" customFormat="false" ht="15" hidden="false" customHeight="false" outlineLevel="0" collapsed="false">
      <c r="A3" s="0" t="s">
        <v>9</v>
      </c>
      <c r="B3" s="0" t="s">
        <v>256</v>
      </c>
      <c r="C3" s="0" t="n">
        <v>5</v>
      </c>
      <c r="D3" s="0" t="n">
        <v>2361</v>
      </c>
      <c r="E3" s="0" t="n">
        <v>14251</v>
      </c>
      <c r="F3" s="0" t="n">
        <v>1</v>
      </c>
      <c r="G3" s="0" t="n">
        <v>1</v>
      </c>
      <c r="H3" s="0" t="n">
        <v>1</v>
      </c>
      <c r="I3" s="0" t="n">
        <v>0.141</v>
      </c>
      <c r="J3" s="0" t="n">
        <v>2.42</v>
      </c>
      <c r="K3" s="0" t="n">
        <v>-2.492</v>
      </c>
      <c r="L3" s="0" t="n">
        <v>0</v>
      </c>
      <c r="M3" s="0" t="n">
        <v>-1.304</v>
      </c>
      <c r="N3" s="0" t="n">
        <v>0</v>
      </c>
    </row>
    <row r="4" customFormat="false" ht="15" hidden="false" customHeight="false" outlineLevel="0" collapsed="false">
      <c r="A4" s="0" t="s">
        <v>9</v>
      </c>
      <c r="B4" s="0" t="s">
        <v>256</v>
      </c>
      <c r="C4" s="0" t="n">
        <v>10</v>
      </c>
      <c r="D4" s="0" t="n">
        <v>4722</v>
      </c>
      <c r="E4" s="0" t="n">
        <v>11933</v>
      </c>
      <c r="F4" s="0" t="n">
        <v>0.991</v>
      </c>
      <c r="G4" s="0" t="n">
        <v>0.988</v>
      </c>
      <c r="H4" s="0" t="n">
        <v>1</v>
      </c>
      <c r="I4" s="0" t="n">
        <v>0.282</v>
      </c>
      <c r="J4" s="0" t="n">
        <v>4.84</v>
      </c>
      <c r="K4" s="0" t="n">
        <v>-0.746</v>
      </c>
      <c r="L4" s="0" t="n">
        <v>0</v>
      </c>
      <c r="M4" s="0" t="n">
        <v>-0.152</v>
      </c>
      <c r="N4" s="0" t="n">
        <v>0.006</v>
      </c>
    </row>
    <row r="5" customFormat="false" ht="15" hidden="false" customHeight="false" outlineLevel="0" collapsed="false">
      <c r="A5" s="0" t="s">
        <v>9</v>
      </c>
      <c r="B5" s="0" t="s">
        <v>256</v>
      </c>
      <c r="C5" s="0" t="n">
        <v>15</v>
      </c>
      <c r="D5" s="0" t="n">
        <v>7083</v>
      </c>
      <c r="E5" s="0" t="n">
        <v>9572</v>
      </c>
      <c r="F5" s="0" t="n">
        <v>0.948</v>
      </c>
      <c r="G5" s="0" t="n">
        <v>0.911</v>
      </c>
      <c r="H5" s="0" t="n">
        <v>0.99</v>
      </c>
      <c r="I5" s="0" t="n">
        <v>0.422</v>
      </c>
      <c r="J5" s="0" t="n">
        <v>7.26</v>
      </c>
      <c r="K5" s="0" t="n">
        <v>-0.164</v>
      </c>
      <c r="L5" s="0" t="n">
        <v>0.005</v>
      </c>
      <c r="M5" s="0" t="n">
        <v>0.232</v>
      </c>
      <c r="N5" s="0" t="n">
        <v>0.168</v>
      </c>
    </row>
    <row r="6" customFormat="false" ht="15" hidden="false" customHeight="false" outlineLevel="0" collapsed="false">
      <c r="A6" s="0" t="s">
        <v>9</v>
      </c>
      <c r="B6" s="0" t="s">
        <v>256</v>
      </c>
      <c r="C6" s="0" t="n">
        <v>20</v>
      </c>
      <c r="D6" s="0" t="n">
        <v>9444</v>
      </c>
      <c r="E6" s="0" t="n">
        <v>7234</v>
      </c>
      <c r="F6" s="0" t="n">
        <v>0.861</v>
      </c>
      <c r="G6" s="0" t="n">
        <v>0.77</v>
      </c>
      <c r="H6" s="0" t="n">
        <v>0.936</v>
      </c>
      <c r="I6" s="0" t="n">
        <v>0.563</v>
      </c>
      <c r="J6" s="0" t="n">
        <v>9.68</v>
      </c>
      <c r="K6" s="0" t="n">
        <v>0.127</v>
      </c>
      <c r="L6" s="0" t="n">
        <v>0.074</v>
      </c>
      <c r="M6" s="0" t="n">
        <v>0.424</v>
      </c>
      <c r="N6" s="0" t="n">
        <v>0.564</v>
      </c>
    </row>
    <row r="7" customFormat="false" ht="15" hidden="false" customHeight="false" outlineLevel="0" collapsed="false">
      <c r="A7" s="0" t="s">
        <v>9</v>
      </c>
      <c r="B7" s="0" t="s">
        <v>256</v>
      </c>
      <c r="C7" s="0" t="n">
        <v>25</v>
      </c>
      <c r="D7" s="0" t="n">
        <v>11805</v>
      </c>
      <c r="E7" s="0" t="n">
        <v>4894</v>
      </c>
      <c r="F7" s="0" t="n">
        <v>0.748</v>
      </c>
      <c r="G7" s="0" t="n">
        <v>0.609</v>
      </c>
      <c r="H7" s="0" t="n">
        <v>0.828</v>
      </c>
      <c r="I7" s="0" t="n">
        <v>0.704</v>
      </c>
      <c r="J7" s="0" t="n">
        <v>12.1</v>
      </c>
      <c r="K7" s="0" t="n">
        <v>0.302</v>
      </c>
      <c r="L7" s="0" t="n">
        <v>0.278</v>
      </c>
      <c r="M7" s="0" t="n">
        <v>0.539</v>
      </c>
      <c r="N7" s="0" t="n">
        <v>0.849</v>
      </c>
    </row>
    <row r="8" customFormat="false" ht="15" hidden="false" customHeight="false" outlineLevel="0" collapsed="false">
      <c r="A8" s="0" t="s">
        <v>9</v>
      </c>
      <c r="B8" s="0" t="s">
        <v>256</v>
      </c>
      <c r="C8" s="0" t="n">
        <v>30</v>
      </c>
      <c r="D8" s="0" t="n">
        <v>14167</v>
      </c>
      <c r="E8" s="0" t="n">
        <v>2560</v>
      </c>
      <c r="F8" s="0" t="n">
        <v>0.625</v>
      </c>
      <c r="G8" s="0" t="n">
        <v>0.461</v>
      </c>
      <c r="H8" s="0" t="n">
        <v>0.68</v>
      </c>
      <c r="I8" s="0" t="n">
        <v>0.845</v>
      </c>
      <c r="J8" s="0" t="n">
        <v>14.52</v>
      </c>
      <c r="K8" s="0" t="n">
        <v>0.418</v>
      </c>
      <c r="L8" s="0" t="n">
        <v>0.548</v>
      </c>
      <c r="M8" s="0" t="n">
        <v>0.616</v>
      </c>
      <c r="N8" s="0" t="n">
        <v>0.963</v>
      </c>
    </row>
    <row r="9" customFormat="false" ht="15" hidden="false" customHeight="false" outlineLevel="0" collapsed="false">
      <c r="A9" s="0" t="s">
        <v>9</v>
      </c>
      <c r="B9" s="0" t="s">
        <v>256</v>
      </c>
      <c r="C9" s="0" t="n">
        <v>40</v>
      </c>
      <c r="D9" s="0" t="n">
        <v>18889</v>
      </c>
      <c r="E9" s="0" t="n">
        <v>-2084</v>
      </c>
      <c r="F9" s="0" t="n">
        <v>0.409</v>
      </c>
      <c r="G9" s="0" t="n">
        <v>0.245</v>
      </c>
      <c r="H9" s="0" t="n">
        <v>0.4</v>
      </c>
      <c r="I9" s="0" t="n">
        <v>1.126</v>
      </c>
      <c r="J9" s="0" t="n">
        <v>19.36</v>
      </c>
      <c r="K9" s="0" t="n">
        <v>0.563</v>
      </c>
      <c r="L9" s="0" t="n">
        <v>0.898</v>
      </c>
      <c r="M9" s="0" t="n">
        <v>0.712</v>
      </c>
      <c r="N9" s="0" t="n">
        <v>0.999</v>
      </c>
    </row>
    <row r="10" customFormat="false" ht="15" hidden="false" customHeight="false" outlineLevel="0" collapsed="false">
      <c r="A10" s="0" t="s">
        <v>9</v>
      </c>
      <c r="B10" s="0" t="s">
        <v>256</v>
      </c>
      <c r="C10" s="0" t="n">
        <v>50</v>
      </c>
      <c r="D10" s="0" t="n">
        <v>23611</v>
      </c>
      <c r="E10" s="0" t="n">
        <v>-6756</v>
      </c>
      <c r="F10" s="0" t="n">
        <v>0.247</v>
      </c>
      <c r="G10" s="0" t="n">
        <v>0.123</v>
      </c>
      <c r="H10" s="0" t="n">
        <v>0.21</v>
      </c>
      <c r="I10" s="0" t="n">
        <v>1.408</v>
      </c>
      <c r="J10" s="0" t="n">
        <v>24.2</v>
      </c>
      <c r="K10" s="0" t="n">
        <v>0.651</v>
      </c>
      <c r="L10" s="0" t="n">
        <v>0.988</v>
      </c>
      <c r="M10" s="0" t="n">
        <v>0.77</v>
      </c>
      <c r="N10" s="0" t="n">
        <v>1</v>
      </c>
    </row>
    <row r="11" customFormat="false" ht="15" hidden="false" customHeight="false" outlineLevel="0" collapsed="false">
      <c r="A11" s="0" t="s">
        <v>9</v>
      </c>
      <c r="B11" s="0" t="s">
        <v>256</v>
      </c>
      <c r="C11" s="0" t="n">
        <v>60</v>
      </c>
      <c r="D11" s="0" t="n">
        <v>28333</v>
      </c>
      <c r="E11" s="0" t="n">
        <v>-11328</v>
      </c>
      <c r="F11" s="0" t="n">
        <v>0.144</v>
      </c>
      <c r="G11" s="0" t="n">
        <v>0.06</v>
      </c>
      <c r="H11" s="0" t="n">
        <v>0.105</v>
      </c>
      <c r="I11" s="0" t="n">
        <v>1.689</v>
      </c>
      <c r="J11" s="0" t="n">
        <v>29.04</v>
      </c>
      <c r="K11" s="0" t="n">
        <v>0.709</v>
      </c>
      <c r="L11" s="0" t="n">
        <v>0.999</v>
      </c>
      <c r="M11" s="0" t="n">
        <v>0.808</v>
      </c>
      <c r="N11" s="0" t="n">
        <v>1</v>
      </c>
    </row>
    <row r="12" customFormat="false" ht="15" hidden="false" customHeight="false" outlineLevel="0" collapsed="false">
      <c r="A12" s="0" t="s">
        <v>9</v>
      </c>
      <c r="B12" s="0" t="s">
        <v>256</v>
      </c>
      <c r="C12" s="0" t="n">
        <v>75</v>
      </c>
      <c r="D12" s="0" t="n">
        <v>35416</v>
      </c>
      <c r="E12" s="0" t="n">
        <v>-18274</v>
      </c>
      <c r="F12" s="0" t="n">
        <v>0.06</v>
      </c>
      <c r="G12" s="0" t="n">
        <v>0.019</v>
      </c>
      <c r="H12" s="0" t="n">
        <v>0.034</v>
      </c>
      <c r="I12" s="0" t="n">
        <v>2.112</v>
      </c>
      <c r="J12" s="0" t="n">
        <v>36.3</v>
      </c>
      <c r="K12" s="0" t="n">
        <v>0.767</v>
      </c>
      <c r="L12" s="0" t="n">
        <v>1</v>
      </c>
      <c r="M12" s="0" t="n">
        <v>0.846</v>
      </c>
      <c r="N12" s="0" t="n">
        <v>1</v>
      </c>
    </row>
    <row r="13" customFormat="false" ht="15" hidden="false" customHeight="false" outlineLevel="0" collapsed="false">
      <c r="A13" s="0" t="s">
        <v>9</v>
      </c>
      <c r="B13" s="0" t="s">
        <v>256</v>
      </c>
      <c r="C13" s="0" t="n">
        <v>100</v>
      </c>
      <c r="D13" s="0" t="n">
        <v>47222</v>
      </c>
      <c r="E13" s="0" t="n">
        <v>-29899</v>
      </c>
      <c r="F13" s="0" t="n">
        <v>0.014</v>
      </c>
      <c r="G13" s="0" t="n">
        <v>0.002</v>
      </c>
      <c r="H13" s="0" t="n">
        <v>0.005</v>
      </c>
      <c r="I13" s="0" t="n">
        <v>2.816</v>
      </c>
      <c r="J13" s="0" t="n">
        <v>48.41</v>
      </c>
      <c r="K13" s="0" t="n">
        <v>0.825</v>
      </c>
      <c r="L13" s="0" t="n">
        <v>1</v>
      </c>
      <c r="M13" s="0" t="n">
        <v>0.885</v>
      </c>
      <c r="N13" s="0" t="n">
        <v>1</v>
      </c>
    </row>
    <row r="14" customFormat="false" ht="15" hidden="false" customHeight="false" outlineLevel="0" collapsed="false">
      <c r="A14" s="0" t="s">
        <v>9</v>
      </c>
      <c r="B14" s="0" t="s">
        <v>256</v>
      </c>
      <c r="C14" s="0" t="n">
        <v>150</v>
      </c>
      <c r="D14" s="0" t="n">
        <v>70833</v>
      </c>
      <c r="E14" s="0" t="n">
        <v>-53142</v>
      </c>
      <c r="F14" s="0" t="n">
        <v>0</v>
      </c>
      <c r="G14" s="0" t="n">
        <v>0</v>
      </c>
      <c r="H14" s="0" t="n">
        <v>0</v>
      </c>
      <c r="I14" s="0" t="n">
        <v>4.223</v>
      </c>
      <c r="J14" s="0" t="n">
        <v>72.61</v>
      </c>
      <c r="K14" s="0" t="n">
        <v>0.884</v>
      </c>
      <c r="L14" s="0" t="n">
        <v>1</v>
      </c>
      <c r="M14" s="0" t="n">
        <v>0.923</v>
      </c>
      <c r="N14" s="0" t="n">
        <v>1</v>
      </c>
    </row>
    <row r="15" customFormat="false" ht="15" hidden="false" customHeight="false" outlineLevel="0" collapsed="false">
      <c r="A15" s="0" t="s">
        <v>9</v>
      </c>
      <c r="B15" s="0" t="s">
        <v>256</v>
      </c>
      <c r="C15" s="0" t="n">
        <v>200</v>
      </c>
      <c r="D15" s="0" t="n">
        <v>94444</v>
      </c>
      <c r="E15" s="0" t="n">
        <v>-76393</v>
      </c>
      <c r="F15" s="0" t="n">
        <v>0</v>
      </c>
      <c r="G15" s="0" t="n">
        <v>0</v>
      </c>
      <c r="H15" s="0" t="n">
        <v>0</v>
      </c>
      <c r="I15" s="0" t="n">
        <v>5.631</v>
      </c>
      <c r="J15" s="0" t="n">
        <v>96.81</v>
      </c>
      <c r="K15" s="0" t="n">
        <v>0.913</v>
      </c>
      <c r="L15" s="0" t="n">
        <v>1</v>
      </c>
      <c r="M15" s="0" t="n">
        <v>0.942</v>
      </c>
      <c r="N15" s="0" t="n">
        <v>1</v>
      </c>
    </row>
    <row r="16" customFormat="false" ht="15" hidden="false" customHeight="false" outlineLevel="0" collapsed="false">
      <c r="A16" s="0" t="s">
        <v>9</v>
      </c>
      <c r="B16" s="0" t="s">
        <v>256</v>
      </c>
      <c r="C16" s="0" t="n">
        <v>300</v>
      </c>
      <c r="D16" s="0" t="n">
        <v>141666</v>
      </c>
      <c r="E16" s="0" t="n">
        <v>-123261</v>
      </c>
      <c r="F16" s="0" t="n">
        <v>0</v>
      </c>
      <c r="G16" s="0" t="n">
        <v>0</v>
      </c>
      <c r="H16" s="0" t="n">
        <v>0</v>
      </c>
      <c r="I16" s="0" t="n">
        <v>8.447</v>
      </c>
      <c r="J16" s="0" t="n">
        <v>145.22</v>
      </c>
      <c r="K16" s="0" t="n">
        <v>0.942</v>
      </c>
      <c r="L16" s="0" t="n">
        <v>1</v>
      </c>
      <c r="M16" s="0" t="n">
        <v>0.962</v>
      </c>
      <c r="N16" s="0" t="n">
        <v>1</v>
      </c>
    </row>
    <row r="17" customFormat="false" ht="15" hidden="false" customHeight="false" outlineLevel="0" collapsed="false">
      <c r="A17" s="0" t="s">
        <v>9</v>
      </c>
      <c r="B17" s="0" t="s">
        <v>257</v>
      </c>
      <c r="C17" s="0" t="n">
        <v>100</v>
      </c>
      <c r="D17" s="0" t="n">
        <v>6390</v>
      </c>
      <c r="E17" s="0" t="n">
        <v>10130</v>
      </c>
      <c r="F17" s="0" t="n">
        <v>0.995</v>
      </c>
      <c r="G17" s="0" t="n">
        <v>0.992</v>
      </c>
      <c r="H17" s="0" t="n">
        <v>1</v>
      </c>
      <c r="I17" s="0" t="n">
        <v>0.377</v>
      </c>
      <c r="J17" s="0" t="n">
        <v>6.63</v>
      </c>
      <c r="K17" s="0" t="n">
        <v>-0.275</v>
      </c>
      <c r="L17" s="0" t="n">
        <v>0.004</v>
      </c>
      <c r="M17" s="0" t="n">
        <v>0.159</v>
      </c>
      <c r="N17" s="0" t="n">
        <v>0.138</v>
      </c>
    </row>
    <row r="18" customFormat="false" ht="15" hidden="false" customHeight="false" outlineLevel="0" collapsed="false">
      <c r="A18" s="0" t="s">
        <v>9</v>
      </c>
      <c r="B18" s="0" t="s">
        <v>257</v>
      </c>
      <c r="C18" s="0" t="n">
        <v>150</v>
      </c>
      <c r="D18" s="0" t="n">
        <v>9585</v>
      </c>
      <c r="E18" s="0" t="n">
        <v>6969</v>
      </c>
      <c r="F18" s="0" t="n">
        <v>0.93</v>
      </c>
      <c r="G18" s="0" t="n">
        <v>0.856</v>
      </c>
      <c r="H18" s="0" t="n">
        <v>0.976</v>
      </c>
      <c r="I18" s="0" t="n">
        <v>0.566</v>
      </c>
      <c r="J18" s="0" t="n">
        <v>9.95</v>
      </c>
      <c r="K18" s="0" t="n">
        <v>0.15</v>
      </c>
      <c r="L18" s="0" t="n">
        <v>0.124</v>
      </c>
      <c r="M18" s="0" t="n">
        <v>0.44</v>
      </c>
      <c r="N18" s="0" t="n">
        <v>0.576</v>
      </c>
    </row>
    <row r="19" customFormat="false" ht="15" hidden="false" customHeight="false" outlineLevel="0" collapsed="false">
      <c r="A19" s="0" t="s">
        <v>9</v>
      </c>
      <c r="B19" s="0" t="s">
        <v>257</v>
      </c>
      <c r="C19" s="0" t="n">
        <v>200</v>
      </c>
      <c r="D19" s="0" t="n">
        <v>12780</v>
      </c>
      <c r="E19" s="0" t="n">
        <v>3908</v>
      </c>
      <c r="F19" s="0" t="n">
        <v>0.77</v>
      </c>
      <c r="G19" s="0" t="n">
        <v>0.582</v>
      </c>
      <c r="H19" s="0" t="n">
        <v>0.843</v>
      </c>
      <c r="I19" s="0" t="n">
        <v>0.754</v>
      </c>
      <c r="J19" s="0" t="n">
        <v>13.27</v>
      </c>
      <c r="K19" s="0" t="n">
        <v>0.363</v>
      </c>
      <c r="L19" s="0" t="n">
        <v>0.425</v>
      </c>
      <c r="M19" s="0" t="n">
        <v>0.58</v>
      </c>
      <c r="N19" s="0" t="n">
        <v>0.834</v>
      </c>
    </row>
    <row r="20" customFormat="false" ht="15" hidden="false" customHeight="false" outlineLevel="0" collapsed="false">
      <c r="A20" s="0" t="s">
        <v>9</v>
      </c>
      <c r="B20" s="0" t="s">
        <v>257</v>
      </c>
      <c r="C20" s="0" t="n">
        <v>300</v>
      </c>
      <c r="D20" s="0" t="n">
        <v>19170</v>
      </c>
      <c r="E20" s="0" t="n">
        <v>-2076</v>
      </c>
      <c r="F20" s="0" t="n">
        <v>0.368</v>
      </c>
      <c r="G20" s="0" t="n">
        <v>0.157</v>
      </c>
      <c r="H20" s="0" t="n">
        <v>0.378</v>
      </c>
      <c r="I20" s="0" t="n">
        <v>1.131</v>
      </c>
      <c r="J20" s="0" t="n">
        <v>19.9</v>
      </c>
      <c r="K20" s="0" t="n">
        <v>0.575</v>
      </c>
      <c r="L20" s="0" t="n">
        <v>0.834</v>
      </c>
      <c r="M20" s="0" t="n">
        <v>0.72</v>
      </c>
      <c r="N20" s="0" t="n">
        <v>0.978</v>
      </c>
    </row>
    <row r="21" customFormat="false" ht="15" hidden="false" customHeight="false" outlineLevel="0" collapsed="false">
      <c r="A21" s="0" t="s">
        <v>9</v>
      </c>
      <c r="B21" s="0" t="s">
        <v>257</v>
      </c>
      <c r="C21" s="0" t="n">
        <v>400</v>
      </c>
      <c r="D21" s="0" t="n">
        <v>25561</v>
      </c>
      <c r="E21" s="0" t="n">
        <v>-7963</v>
      </c>
      <c r="F21" s="0" t="n">
        <v>0.12</v>
      </c>
      <c r="G21" s="0" t="n">
        <v>0.025</v>
      </c>
      <c r="H21" s="0" t="n">
        <v>0.099</v>
      </c>
      <c r="I21" s="0" t="n">
        <v>1.508</v>
      </c>
      <c r="J21" s="0" t="n">
        <v>26.54</v>
      </c>
      <c r="K21" s="0" t="n">
        <v>0.681</v>
      </c>
      <c r="L21" s="0" t="n">
        <v>0.959</v>
      </c>
      <c r="M21" s="0" t="n">
        <v>0.79</v>
      </c>
      <c r="N21" s="0" t="n">
        <v>0.998</v>
      </c>
    </row>
    <row r="22" customFormat="false" ht="15" hidden="false" customHeight="false" outlineLevel="0" collapsed="false">
      <c r="A22" s="0" t="s">
        <v>9</v>
      </c>
      <c r="B22" s="0" t="s">
        <v>257</v>
      </c>
      <c r="C22" s="0" t="n">
        <v>500</v>
      </c>
      <c r="D22" s="0" t="n">
        <v>31951</v>
      </c>
      <c r="E22" s="0" t="n">
        <v>-14031</v>
      </c>
      <c r="F22" s="0" t="n">
        <v>0.027</v>
      </c>
      <c r="G22" s="0" t="n">
        <v>0.002</v>
      </c>
      <c r="H22" s="0" t="n">
        <v>0.019</v>
      </c>
      <c r="I22" s="0" t="n">
        <v>1.886</v>
      </c>
      <c r="J22" s="0" t="n">
        <v>33.17</v>
      </c>
      <c r="K22" s="0" t="n">
        <v>0.745</v>
      </c>
      <c r="L22" s="0" t="n">
        <v>0.991</v>
      </c>
      <c r="M22" s="0" t="n">
        <v>0.832</v>
      </c>
      <c r="N22" s="0" t="n">
        <v>1</v>
      </c>
    </row>
    <row r="23" customFormat="false" ht="15" hidden="false" customHeight="false" outlineLevel="0" collapsed="false">
      <c r="A23" s="0" t="s">
        <v>9</v>
      </c>
      <c r="B23" s="0" t="s">
        <v>257</v>
      </c>
      <c r="C23" s="0" t="n">
        <v>750</v>
      </c>
      <c r="D23" s="0" t="n">
        <v>47926</v>
      </c>
      <c r="E23" s="0" t="n">
        <v>-29773</v>
      </c>
      <c r="F23" s="0" t="n">
        <v>0</v>
      </c>
      <c r="G23" s="0" t="n">
        <v>0</v>
      </c>
      <c r="H23" s="0" t="n">
        <v>0</v>
      </c>
      <c r="I23" s="0" t="n">
        <v>2.828</v>
      </c>
      <c r="J23" s="0" t="n">
        <v>49.76</v>
      </c>
      <c r="K23" s="0" t="n">
        <v>0.83</v>
      </c>
      <c r="L23" s="0" t="n">
        <v>1</v>
      </c>
      <c r="M23" s="0" t="n">
        <v>0.888</v>
      </c>
      <c r="N23" s="0" t="n">
        <v>1</v>
      </c>
    </row>
    <row r="24" customFormat="false" ht="15" hidden="false" customHeight="false" outlineLevel="0" collapsed="false">
      <c r="A24" s="0" t="s">
        <v>9</v>
      </c>
      <c r="B24" s="0" t="s">
        <v>257</v>
      </c>
      <c r="C24" s="0" t="n">
        <v>1000</v>
      </c>
      <c r="D24" s="0" t="n">
        <v>63902</v>
      </c>
      <c r="E24" s="0" t="n">
        <v>-45867</v>
      </c>
      <c r="F24" s="0" t="n">
        <v>0</v>
      </c>
      <c r="G24" s="0" t="n">
        <v>0</v>
      </c>
      <c r="H24" s="0" t="n">
        <v>0</v>
      </c>
      <c r="I24" s="0" t="n">
        <v>3.771</v>
      </c>
      <c r="J24" s="0" t="n">
        <v>66.34</v>
      </c>
      <c r="K24" s="0" t="n">
        <v>0.873</v>
      </c>
      <c r="L24" s="0" t="n">
        <v>1</v>
      </c>
      <c r="M24" s="0" t="n">
        <v>0.916</v>
      </c>
      <c r="N24" s="0" t="n">
        <v>1</v>
      </c>
    </row>
    <row r="25" customFormat="false" ht="15" hidden="false" customHeight="false" outlineLevel="0" collapsed="false">
      <c r="A25" s="0" t="s">
        <v>9</v>
      </c>
      <c r="B25" s="0" t="s">
        <v>257</v>
      </c>
      <c r="C25" s="0" t="n">
        <v>1500</v>
      </c>
      <c r="D25" s="0" t="n">
        <v>95852</v>
      </c>
      <c r="E25" s="0" t="n">
        <v>-77933</v>
      </c>
      <c r="F25" s="0" t="n">
        <v>0</v>
      </c>
      <c r="G25" s="0" t="n">
        <v>0</v>
      </c>
      <c r="H25" s="0" t="n">
        <v>0</v>
      </c>
      <c r="I25" s="0" t="n">
        <v>5.657</v>
      </c>
      <c r="J25" s="0" t="n">
        <v>99.52</v>
      </c>
      <c r="K25" s="0" t="n">
        <v>0.915</v>
      </c>
      <c r="L25" s="0" t="n">
        <v>1</v>
      </c>
      <c r="M25" s="0" t="n">
        <v>0.944</v>
      </c>
      <c r="N25" s="0" t="n">
        <v>1</v>
      </c>
    </row>
    <row r="26" customFormat="false" ht="15" hidden="false" customHeight="false" outlineLevel="0" collapsed="false">
      <c r="A26" s="0" t="s">
        <v>9</v>
      </c>
      <c r="B26" s="0" t="s">
        <v>258</v>
      </c>
      <c r="C26" s="0" t="n">
        <v>6</v>
      </c>
      <c r="D26" s="0" t="n">
        <v>5817</v>
      </c>
      <c r="E26" s="0" t="n">
        <v>10797</v>
      </c>
      <c r="F26" s="0" t="n">
        <v>0.985</v>
      </c>
      <c r="G26" s="0" t="n">
        <v>0.981</v>
      </c>
      <c r="H26" s="0" t="n">
        <v>0.999</v>
      </c>
      <c r="I26" s="0" t="n">
        <v>0.349</v>
      </c>
      <c r="J26" s="0" t="n">
        <v>6</v>
      </c>
      <c r="K26" s="0" t="n">
        <v>-0.41</v>
      </c>
      <c r="L26" s="0" t="n">
        <v>0</v>
      </c>
      <c r="M26" s="0" t="n">
        <v>0.076</v>
      </c>
      <c r="N26" s="0" t="n">
        <v>0.001</v>
      </c>
    </row>
    <row r="27" customFormat="false" ht="15" hidden="false" customHeight="false" outlineLevel="0" collapsed="false">
      <c r="A27" s="0" t="s">
        <v>9</v>
      </c>
      <c r="B27" s="0" t="s">
        <v>258</v>
      </c>
      <c r="C27" s="0" t="n">
        <v>8</v>
      </c>
      <c r="D27" s="0" t="n">
        <v>7756</v>
      </c>
      <c r="E27" s="0" t="n">
        <v>8830</v>
      </c>
      <c r="F27" s="0" t="n">
        <v>0.94</v>
      </c>
      <c r="G27" s="0" t="n">
        <v>0.902</v>
      </c>
      <c r="H27" s="0" t="n">
        <v>0.985</v>
      </c>
      <c r="I27" s="0" t="n">
        <v>0.465</v>
      </c>
      <c r="J27" s="0" t="n">
        <v>8</v>
      </c>
      <c r="K27" s="0" t="n">
        <v>-0.057</v>
      </c>
      <c r="L27" s="0" t="n">
        <v>0</v>
      </c>
      <c r="M27" s="0" t="n">
        <v>0.307</v>
      </c>
      <c r="N27" s="0" t="n">
        <v>0.184</v>
      </c>
    </row>
    <row r="28" customFormat="false" ht="15" hidden="false" customHeight="false" outlineLevel="0" collapsed="false">
      <c r="A28" s="0" t="s">
        <v>10</v>
      </c>
      <c r="B28" s="0" t="s">
        <v>256</v>
      </c>
      <c r="C28" s="0" t="n">
        <v>5</v>
      </c>
      <c r="D28" s="0" t="n">
        <v>2949</v>
      </c>
      <c r="E28" s="0" t="n">
        <v>106214</v>
      </c>
      <c r="F28" s="0" t="n">
        <v>1</v>
      </c>
      <c r="G28" s="0" t="n">
        <v>0.916</v>
      </c>
      <c r="H28" s="0" t="n">
        <v>0.944</v>
      </c>
      <c r="I28" s="0" t="n">
        <v>0.027</v>
      </c>
      <c r="J28" s="0" t="n">
        <v>2.35</v>
      </c>
      <c r="K28" s="0" t="n">
        <v>-2.353</v>
      </c>
      <c r="L28" s="0" t="n">
        <v>0</v>
      </c>
      <c r="M28" s="0" t="n">
        <v>-1.146</v>
      </c>
      <c r="N28" s="0" t="n">
        <v>0</v>
      </c>
    </row>
    <row r="29" customFormat="false" ht="15" hidden="false" customHeight="false" outlineLevel="0" collapsed="false">
      <c r="A29" s="0" t="s">
        <v>10</v>
      </c>
      <c r="B29" s="0" t="s">
        <v>256</v>
      </c>
      <c r="C29" s="0" t="n">
        <v>10</v>
      </c>
      <c r="D29" s="0" t="n">
        <v>5898</v>
      </c>
      <c r="E29" s="0" t="n">
        <v>103268</v>
      </c>
      <c r="F29" s="0" t="n">
        <v>1</v>
      </c>
      <c r="G29" s="0" t="n">
        <v>0.896</v>
      </c>
      <c r="H29" s="0" t="n">
        <v>0.931</v>
      </c>
      <c r="I29" s="0" t="n">
        <v>0.054</v>
      </c>
      <c r="J29" s="0" t="n">
        <v>4.7</v>
      </c>
      <c r="K29" s="0" t="n">
        <v>-0.677</v>
      </c>
      <c r="L29" s="0" t="n">
        <v>0</v>
      </c>
      <c r="M29" s="0" t="n">
        <v>-0.073</v>
      </c>
      <c r="N29" s="0" t="n">
        <v>0.012</v>
      </c>
    </row>
    <row r="30" customFormat="false" ht="15" hidden="false" customHeight="false" outlineLevel="0" collapsed="false">
      <c r="A30" s="0" t="s">
        <v>10</v>
      </c>
      <c r="B30" s="0" t="s">
        <v>256</v>
      </c>
      <c r="C30" s="0" t="n">
        <v>15</v>
      </c>
      <c r="D30" s="0" t="n">
        <v>8846</v>
      </c>
      <c r="E30" s="0" t="n">
        <v>100333</v>
      </c>
      <c r="F30" s="0" t="n">
        <v>1</v>
      </c>
      <c r="G30" s="0" t="n">
        <v>0.869</v>
      </c>
      <c r="H30" s="0" t="n">
        <v>0.915</v>
      </c>
      <c r="I30" s="0" t="n">
        <v>0.081</v>
      </c>
      <c r="J30" s="0" t="n">
        <v>7.05</v>
      </c>
      <c r="K30" s="0" t="n">
        <v>-0.118</v>
      </c>
      <c r="L30" s="0" t="n">
        <v>0.01</v>
      </c>
      <c r="M30" s="0" t="n">
        <v>0.285</v>
      </c>
      <c r="N30" s="0" t="n">
        <v>0.248</v>
      </c>
    </row>
    <row r="31" customFormat="false" ht="15" hidden="false" customHeight="false" outlineLevel="0" collapsed="false">
      <c r="A31" s="0" t="s">
        <v>10</v>
      </c>
      <c r="B31" s="0" t="s">
        <v>256</v>
      </c>
      <c r="C31" s="0" t="n">
        <v>20</v>
      </c>
      <c r="D31" s="0" t="n">
        <v>11795</v>
      </c>
      <c r="E31" s="0" t="n">
        <v>97321</v>
      </c>
      <c r="F31" s="0" t="n">
        <v>1</v>
      </c>
      <c r="G31" s="0" t="n">
        <v>0.839</v>
      </c>
      <c r="H31" s="0" t="n">
        <v>0.894</v>
      </c>
      <c r="I31" s="0" t="n">
        <v>0.108</v>
      </c>
      <c r="J31" s="0" t="n">
        <v>9.39</v>
      </c>
      <c r="K31" s="0" t="n">
        <v>0.162</v>
      </c>
      <c r="L31" s="0" t="n">
        <v>0.103</v>
      </c>
      <c r="M31" s="0" t="n">
        <v>0.463</v>
      </c>
      <c r="N31" s="0" t="n">
        <v>0.678</v>
      </c>
    </row>
    <row r="32" customFormat="false" ht="15" hidden="false" customHeight="false" outlineLevel="0" collapsed="false">
      <c r="A32" s="0" t="s">
        <v>10</v>
      </c>
      <c r="B32" s="0" t="s">
        <v>256</v>
      </c>
      <c r="C32" s="0" t="n">
        <v>25</v>
      </c>
      <c r="D32" s="0" t="n">
        <v>14744</v>
      </c>
      <c r="E32" s="0" t="n">
        <v>94331</v>
      </c>
      <c r="F32" s="0" t="n">
        <v>1</v>
      </c>
      <c r="G32" s="0" t="n">
        <v>0.806</v>
      </c>
      <c r="H32" s="0" t="n">
        <v>0.867</v>
      </c>
      <c r="I32" s="0" t="n">
        <v>0.134</v>
      </c>
      <c r="J32" s="0" t="n">
        <v>11.74</v>
      </c>
      <c r="K32" s="0" t="n">
        <v>0.329</v>
      </c>
      <c r="L32" s="0" t="n">
        <v>0.336</v>
      </c>
      <c r="M32" s="0" t="n">
        <v>0.571</v>
      </c>
      <c r="N32" s="0" t="n">
        <v>0.913</v>
      </c>
    </row>
    <row r="33" customFormat="false" ht="15" hidden="false" customHeight="false" outlineLevel="0" collapsed="false">
      <c r="A33" s="0" t="s">
        <v>10</v>
      </c>
      <c r="B33" s="0" t="s">
        <v>256</v>
      </c>
      <c r="C33" s="0" t="n">
        <v>30</v>
      </c>
      <c r="D33" s="0" t="n">
        <v>17693</v>
      </c>
      <c r="E33" s="0" t="n">
        <v>91445</v>
      </c>
      <c r="F33" s="0" t="n">
        <v>0.999</v>
      </c>
      <c r="G33" s="0" t="n">
        <v>0.767</v>
      </c>
      <c r="H33" s="0" t="n">
        <v>0.838</v>
      </c>
      <c r="I33" s="0" t="n">
        <v>0.161</v>
      </c>
      <c r="J33" s="0" t="n">
        <v>14.09</v>
      </c>
      <c r="K33" s="0" t="n">
        <v>0.441</v>
      </c>
      <c r="L33" s="0" t="n">
        <v>0.605</v>
      </c>
      <c r="M33" s="0" t="n">
        <v>0.642</v>
      </c>
      <c r="N33" s="0" t="n">
        <v>0.985</v>
      </c>
    </row>
    <row r="34" customFormat="false" ht="15" hidden="false" customHeight="false" outlineLevel="0" collapsed="false">
      <c r="A34" s="0" t="s">
        <v>10</v>
      </c>
      <c r="B34" s="0" t="s">
        <v>256</v>
      </c>
      <c r="C34" s="0" t="n">
        <v>40</v>
      </c>
      <c r="D34" s="0" t="n">
        <v>23590</v>
      </c>
      <c r="E34" s="0" t="n">
        <v>85575</v>
      </c>
      <c r="F34" s="0" t="n">
        <v>0.997</v>
      </c>
      <c r="G34" s="0" t="n">
        <v>0.683</v>
      </c>
      <c r="H34" s="0" t="n">
        <v>0.772</v>
      </c>
      <c r="I34" s="0" t="n">
        <v>0.215</v>
      </c>
      <c r="J34" s="0" t="n">
        <v>18.79</v>
      </c>
      <c r="K34" s="0" t="n">
        <v>0.581</v>
      </c>
      <c r="L34" s="0" t="n">
        <v>0.919</v>
      </c>
      <c r="M34" s="0" t="n">
        <v>0.732</v>
      </c>
      <c r="N34" s="0" t="n">
        <v>1</v>
      </c>
    </row>
    <row r="35" customFormat="false" ht="15" hidden="false" customHeight="false" outlineLevel="0" collapsed="false">
      <c r="A35" s="0" t="s">
        <v>10</v>
      </c>
      <c r="B35" s="0" t="s">
        <v>256</v>
      </c>
      <c r="C35" s="0" t="n">
        <v>50</v>
      </c>
      <c r="D35" s="0" t="n">
        <v>29488</v>
      </c>
      <c r="E35" s="0" t="n">
        <v>79729</v>
      </c>
      <c r="F35" s="0" t="n">
        <v>0.989</v>
      </c>
      <c r="G35" s="0" t="n">
        <v>0.604</v>
      </c>
      <c r="H35" s="0" t="n">
        <v>0.691</v>
      </c>
      <c r="I35" s="0" t="n">
        <v>0.269</v>
      </c>
      <c r="J35" s="0" t="n">
        <v>23.48</v>
      </c>
      <c r="K35" s="0" t="n">
        <v>0.665</v>
      </c>
      <c r="L35" s="0" t="n">
        <v>0.991</v>
      </c>
      <c r="M35" s="0" t="n">
        <v>0.785</v>
      </c>
      <c r="N35" s="0" t="n">
        <v>1</v>
      </c>
    </row>
    <row r="36" customFormat="false" ht="15" hidden="false" customHeight="false" outlineLevel="0" collapsed="false">
      <c r="A36" s="0" t="s">
        <v>10</v>
      </c>
      <c r="B36" s="0" t="s">
        <v>256</v>
      </c>
      <c r="C36" s="0" t="n">
        <v>60</v>
      </c>
      <c r="D36" s="0" t="n">
        <v>35386</v>
      </c>
      <c r="E36" s="0" t="n">
        <v>73860</v>
      </c>
      <c r="F36" s="0" t="n">
        <v>0.976</v>
      </c>
      <c r="G36" s="0" t="n">
        <v>0.526</v>
      </c>
      <c r="H36" s="0" t="n">
        <v>0.611</v>
      </c>
      <c r="I36" s="0" t="n">
        <v>0.323</v>
      </c>
      <c r="J36" s="0" t="n">
        <v>28.18</v>
      </c>
      <c r="K36" s="0" t="n">
        <v>0.721</v>
      </c>
      <c r="L36" s="0" t="n">
        <v>0.999</v>
      </c>
      <c r="M36" s="0" t="n">
        <v>0.821</v>
      </c>
      <c r="N36" s="0" t="n">
        <v>1</v>
      </c>
    </row>
    <row r="37" customFormat="false" ht="15" hidden="false" customHeight="false" outlineLevel="0" collapsed="false">
      <c r="A37" s="0" t="s">
        <v>10</v>
      </c>
      <c r="B37" s="0" t="s">
        <v>256</v>
      </c>
      <c r="C37" s="0" t="n">
        <v>75</v>
      </c>
      <c r="D37" s="0" t="n">
        <v>44232</v>
      </c>
      <c r="E37" s="0" t="n">
        <v>64983</v>
      </c>
      <c r="F37" s="0" t="n">
        <v>0.945</v>
      </c>
      <c r="G37" s="0" t="n">
        <v>0.421</v>
      </c>
      <c r="H37" s="0" t="n">
        <v>0.499</v>
      </c>
      <c r="I37" s="0" t="n">
        <v>0.403</v>
      </c>
      <c r="J37" s="0" t="n">
        <v>35.23</v>
      </c>
      <c r="K37" s="0" t="n">
        <v>0.776</v>
      </c>
      <c r="L37" s="0" t="n">
        <v>1</v>
      </c>
      <c r="M37" s="0" t="n">
        <v>0.857</v>
      </c>
      <c r="N37" s="0" t="n">
        <v>1</v>
      </c>
    </row>
    <row r="38" customFormat="false" ht="15" hidden="false" customHeight="false" outlineLevel="0" collapsed="false">
      <c r="A38" s="0" t="s">
        <v>10</v>
      </c>
      <c r="B38" s="0" t="s">
        <v>256</v>
      </c>
      <c r="C38" s="0" t="n">
        <v>100</v>
      </c>
      <c r="D38" s="0" t="n">
        <v>58976</v>
      </c>
      <c r="E38" s="0" t="n">
        <v>50294</v>
      </c>
      <c r="F38" s="0" t="n">
        <v>0.864</v>
      </c>
      <c r="G38" s="0" t="n">
        <v>0.277</v>
      </c>
      <c r="H38" s="0" t="n">
        <v>0.341</v>
      </c>
      <c r="I38" s="0" t="n">
        <v>0.538</v>
      </c>
      <c r="J38" s="0" t="n">
        <v>46.97</v>
      </c>
      <c r="K38" s="0" t="n">
        <v>0.832</v>
      </c>
      <c r="L38" s="0" t="n">
        <v>1</v>
      </c>
      <c r="M38" s="0" t="n">
        <v>0.893</v>
      </c>
      <c r="N38" s="0" t="n">
        <v>1</v>
      </c>
    </row>
    <row r="39" customFormat="false" ht="15" hidden="false" customHeight="false" outlineLevel="0" collapsed="false">
      <c r="A39" s="0" t="s">
        <v>10</v>
      </c>
      <c r="B39" s="0" t="s">
        <v>256</v>
      </c>
      <c r="C39" s="0" t="n">
        <v>150</v>
      </c>
      <c r="D39" s="0" t="n">
        <v>88464</v>
      </c>
      <c r="E39" s="0" t="n">
        <v>20987</v>
      </c>
      <c r="F39" s="0" t="n">
        <v>0.654</v>
      </c>
      <c r="G39" s="0" t="n">
        <v>0.121</v>
      </c>
      <c r="H39" s="0" t="n">
        <v>0.148</v>
      </c>
      <c r="I39" s="0" t="n">
        <v>0.806</v>
      </c>
      <c r="J39" s="0" t="n">
        <v>70.45</v>
      </c>
      <c r="K39" s="0" t="n">
        <v>0.888</v>
      </c>
      <c r="L39" s="0" t="n">
        <v>1</v>
      </c>
      <c r="M39" s="0" t="n">
        <v>0.928</v>
      </c>
      <c r="N39" s="0" t="n">
        <v>1</v>
      </c>
    </row>
    <row r="40" customFormat="false" ht="15" hidden="false" customHeight="false" outlineLevel="0" collapsed="false">
      <c r="A40" s="0" t="s">
        <v>10</v>
      </c>
      <c r="B40" s="0" t="s">
        <v>256</v>
      </c>
      <c r="C40" s="0" t="n">
        <v>200</v>
      </c>
      <c r="D40" s="0" t="n">
        <v>117952</v>
      </c>
      <c r="E40" s="0" t="n">
        <v>-8216</v>
      </c>
      <c r="F40" s="0" t="n">
        <v>0.445</v>
      </c>
      <c r="G40" s="0" t="n">
        <v>0.052</v>
      </c>
      <c r="H40" s="0" t="n">
        <v>0.064</v>
      </c>
      <c r="I40" s="0" t="n">
        <v>1.075</v>
      </c>
      <c r="J40" s="0" t="n">
        <v>93.93</v>
      </c>
      <c r="K40" s="0" t="n">
        <v>0.916</v>
      </c>
      <c r="L40" s="0" t="n">
        <v>1</v>
      </c>
      <c r="M40" s="0" t="n">
        <v>0.946</v>
      </c>
      <c r="N40" s="0" t="n">
        <v>1</v>
      </c>
    </row>
    <row r="41" customFormat="false" ht="15" hidden="false" customHeight="false" outlineLevel="0" collapsed="false">
      <c r="A41" s="0" t="s">
        <v>10</v>
      </c>
      <c r="B41" s="0" t="s">
        <v>256</v>
      </c>
      <c r="C41" s="0" t="n">
        <v>300</v>
      </c>
      <c r="D41" s="0" t="n">
        <v>176928</v>
      </c>
      <c r="E41" s="0" t="n">
        <v>-66519</v>
      </c>
      <c r="F41" s="0" t="n">
        <v>0.185</v>
      </c>
      <c r="G41" s="0" t="n">
        <v>0.011</v>
      </c>
      <c r="H41" s="0" t="n">
        <v>0.013</v>
      </c>
      <c r="I41" s="0" t="n">
        <v>1.613</v>
      </c>
      <c r="J41" s="0" t="n">
        <v>140.9</v>
      </c>
      <c r="K41" s="0" t="n">
        <v>0.944</v>
      </c>
      <c r="L41" s="0" t="n">
        <v>1</v>
      </c>
      <c r="M41" s="0" t="n">
        <v>0.964</v>
      </c>
      <c r="N41" s="0" t="n">
        <v>1</v>
      </c>
    </row>
    <row r="42" customFormat="false" ht="15" hidden="false" customHeight="false" outlineLevel="0" collapsed="false">
      <c r="A42" s="0" t="s">
        <v>10</v>
      </c>
      <c r="B42" s="0" t="s">
        <v>257</v>
      </c>
      <c r="C42" s="0" t="n">
        <v>100</v>
      </c>
      <c r="D42" s="0" t="n">
        <v>4594</v>
      </c>
      <c r="E42" s="0" t="n">
        <v>104403</v>
      </c>
      <c r="F42" s="0" t="n">
        <v>1</v>
      </c>
      <c r="G42" s="0" t="n">
        <v>0.912</v>
      </c>
      <c r="H42" s="0" t="n">
        <v>0.941</v>
      </c>
      <c r="I42" s="0" t="n">
        <v>0.041</v>
      </c>
      <c r="J42" s="0" t="n">
        <v>3.7</v>
      </c>
      <c r="K42" s="0" t="n">
        <v>-1.134</v>
      </c>
      <c r="L42" s="0" t="n">
        <v>0</v>
      </c>
      <c r="M42" s="0" t="n">
        <v>-0.365</v>
      </c>
      <c r="N42" s="0" t="n">
        <v>0.004</v>
      </c>
    </row>
    <row r="43" customFormat="false" ht="15" hidden="false" customHeight="false" outlineLevel="0" collapsed="false">
      <c r="A43" s="0" t="s">
        <v>10</v>
      </c>
      <c r="B43" s="0" t="s">
        <v>257</v>
      </c>
      <c r="C43" s="0" t="n">
        <v>150</v>
      </c>
      <c r="D43" s="0" t="n">
        <v>6892</v>
      </c>
      <c r="E43" s="0" t="n">
        <v>102051</v>
      </c>
      <c r="F43" s="0" t="n">
        <v>1</v>
      </c>
      <c r="G43" s="0" t="n">
        <v>0.898</v>
      </c>
      <c r="H43" s="0" t="n">
        <v>0.931</v>
      </c>
      <c r="I43" s="0" t="n">
        <v>0.062</v>
      </c>
      <c r="J43" s="0" t="n">
        <v>5.55</v>
      </c>
      <c r="K43" s="0" t="n">
        <v>-0.423</v>
      </c>
      <c r="L43" s="0" t="n">
        <v>0.002</v>
      </c>
      <c r="M43" s="0" t="n">
        <v>0.09</v>
      </c>
      <c r="N43" s="0" t="n">
        <v>0.109</v>
      </c>
    </row>
    <row r="44" customFormat="false" ht="15" hidden="false" customHeight="false" outlineLevel="0" collapsed="false">
      <c r="A44" s="0" t="s">
        <v>10</v>
      </c>
      <c r="B44" s="0" t="s">
        <v>257</v>
      </c>
      <c r="C44" s="0" t="n">
        <v>200</v>
      </c>
      <c r="D44" s="0" t="n">
        <v>9189</v>
      </c>
      <c r="E44" s="0" t="n">
        <v>99700</v>
      </c>
      <c r="F44" s="0" t="n">
        <v>1</v>
      </c>
      <c r="G44" s="0" t="n">
        <v>0.882</v>
      </c>
      <c r="H44" s="0" t="n">
        <v>0.921</v>
      </c>
      <c r="I44" s="0" t="n">
        <v>0.083</v>
      </c>
      <c r="J44" s="0" t="n">
        <v>7.39</v>
      </c>
      <c r="K44" s="0" t="n">
        <v>-0.067</v>
      </c>
      <c r="L44" s="0" t="n">
        <v>0.037</v>
      </c>
      <c r="M44" s="0" t="n">
        <v>0.318</v>
      </c>
      <c r="N44" s="0" t="n">
        <v>0.359</v>
      </c>
    </row>
    <row r="45" customFormat="false" ht="15" hidden="false" customHeight="false" outlineLevel="0" collapsed="false">
      <c r="A45" s="0" t="s">
        <v>10</v>
      </c>
      <c r="B45" s="0" t="s">
        <v>257</v>
      </c>
      <c r="C45" s="0" t="n">
        <v>300</v>
      </c>
      <c r="D45" s="0" t="n">
        <v>13783</v>
      </c>
      <c r="E45" s="0" t="n">
        <v>94986</v>
      </c>
      <c r="F45" s="0" t="n">
        <v>1</v>
      </c>
      <c r="G45" s="0" t="n">
        <v>0.84</v>
      </c>
      <c r="H45" s="0" t="n">
        <v>0.894</v>
      </c>
      <c r="I45" s="0" t="n">
        <v>0.124</v>
      </c>
      <c r="J45" s="0" t="n">
        <v>11.09</v>
      </c>
      <c r="K45" s="0" t="n">
        <v>0.289</v>
      </c>
      <c r="L45" s="0" t="n">
        <v>0.309</v>
      </c>
      <c r="M45" s="0" t="n">
        <v>0.545</v>
      </c>
      <c r="N45" s="0" t="n">
        <v>0.774</v>
      </c>
    </row>
    <row r="46" customFormat="false" ht="15" hidden="false" customHeight="false" outlineLevel="0" collapsed="false">
      <c r="A46" s="0" t="s">
        <v>10</v>
      </c>
      <c r="B46" s="0" t="s">
        <v>257</v>
      </c>
      <c r="C46" s="0" t="n">
        <v>400</v>
      </c>
      <c r="D46" s="0" t="n">
        <v>18378</v>
      </c>
      <c r="E46" s="0" t="n">
        <v>90336</v>
      </c>
      <c r="F46" s="0" t="n">
        <v>1</v>
      </c>
      <c r="G46" s="0" t="n">
        <v>0.79</v>
      </c>
      <c r="H46" s="0" t="n">
        <v>0.857</v>
      </c>
      <c r="I46" s="0" t="n">
        <v>0.166</v>
      </c>
      <c r="J46" s="0" t="n">
        <v>14.79</v>
      </c>
      <c r="K46" s="0" t="n">
        <v>0.467</v>
      </c>
      <c r="L46" s="0" t="n">
        <v>0.624</v>
      </c>
      <c r="M46" s="0" t="n">
        <v>0.659</v>
      </c>
      <c r="N46" s="0" t="n">
        <v>0.931</v>
      </c>
    </row>
    <row r="47" customFormat="false" ht="15" hidden="false" customHeight="false" outlineLevel="0" collapsed="false">
      <c r="A47" s="0" t="s">
        <v>10</v>
      </c>
      <c r="B47" s="0" t="s">
        <v>257</v>
      </c>
      <c r="C47" s="0" t="n">
        <v>500</v>
      </c>
      <c r="D47" s="0" t="n">
        <v>22972</v>
      </c>
      <c r="E47" s="0" t="n">
        <v>85619</v>
      </c>
      <c r="F47" s="0" t="n">
        <v>1</v>
      </c>
      <c r="G47" s="0" t="n">
        <v>0.731</v>
      </c>
      <c r="H47" s="0" t="n">
        <v>0.811</v>
      </c>
      <c r="I47" s="0" t="n">
        <v>0.207</v>
      </c>
      <c r="J47" s="0" t="n">
        <v>18.48</v>
      </c>
      <c r="K47" s="0" t="n">
        <v>0.573</v>
      </c>
      <c r="L47" s="0" t="n">
        <v>0.818</v>
      </c>
      <c r="M47" s="0" t="n">
        <v>0.727</v>
      </c>
      <c r="N47" s="0" t="n">
        <v>0.977</v>
      </c>
    </row>
    <row r="48" customFormat="false" ht="15" hidden="false" customHeight="false" outlineLevel="0" collapsed="false">
      <c r="A48" s="0" t="s">
        <v>10</v>
      </c>
      <c r="B48" s="0" t="s">
        <v>257</v>
      </c>
      <c r="C48" s="0" t="n">
        <v>750</v>
      </c>
      <c r="D48" s="0" t="n">
        <v>34459</v>
      </c>
      <c r="E48" s="0" t="n">
        <v>73867</v>
      </c>
      <c r="F48" s="0" t="n">
        <v>0.999</v>
      </c>
      <c r="G48" s="0" t="n">
        <v>0.559</v>
      </c>
      <c r="H48" s="0" t="n">
        <v>0.66</v>
      </c>
      <c r="I48" s="0" t="n">
        <v>0.311</v>
      </c>
      <c r="J48" s="0" t="n">
        <v>27.73</v>
      </c>
      <c r="K48" s="0" t="n">
        <v>0.715</v>
      </c>
      <c r="L48" s="0" t="n">
        <v>0.973</v>
      </c>
      <c r="M48" s="0" t="n">
        <v>0.818</v>
      </c>
      <c r="N48" s="0" t="n">
        <v>0.999</v>
      </c>
    </row>
    <row r="49" customFormat="false" ht="15" hidden="false" customHeight="false" outlineLevel="0" collapsed="false">
      <c r="A49" s="0" t="s">
        <v>10</v>
      </c>
      <c r="B49" s="0" t="s">
        <v>257</v>
      </c>
      <c r="C49" s="0" t="n">
        <v>1000</v>
      </c>
      <c r="D49" s="0" t="n">
        <v>45945</v>
      </c>
      <c r="E49" s="0" t="n">
        <v>62368</v>
      </c>
      <c r="F49" s="0" t="n">
        <v>0.987</v>
      </c>
      <c r="G49" s="0" t="n">
        <v>0.388</v>
      </c>
      <c r="H49" s="0" t="n">
        <v>0.491</v>
      </c>
      <c r="I49" s="0" t="n">
        <v>0.414</v>
      </c>
      <c r="J49" s="0" t="n">
        <v>36.97</v>
      </c>
      <c r="K49" s="0" t="n">
        <v>0.787</v>
      </c>
      <c r="L49" s="0" t="n">
        <v>0.996</v>
      </c>
      <c r="M49" s="0" t="n">
        <v>0.864</v>
      </c>
      <c r="N49" s="0" t="n">
        <v>1</v>
      </c>
    </row>
    <row r="50" customFormat="false" ht="15" hidden="false" customHeight="false" outlineLevel="0" collapsed="false">
      <c r="A50" s="0" t="s">
        <v>10</v>
      </c>
      <c r="B50" s="0" t="s">
        <v>257</v>
      </c>
      <c r="C50" s="0" t="n">
        <v>1500</v>
      </c>
      <c r="D50" s="0" t="n">
        <v>68917</v>
      </c>
      <c r="E50" s="0" t="n">
        <v>39534</v>
      </c>
      <c r="F50" s="0" t="n">
        <v>0.88</v>
      </c>
      <c r="G50" s="0" t="n">
        <v>0.162</v>
      </c>
      <c r="H50" s="0" t="n">
        <v>0.223</v>
      </c>
      <c r="I50" s="0" t="n">
        <v>0.621</v>
      </c>
      <c r="J50" s="0" t="n">
        <v>55.45</v>
      </c>
      <c r="K50" s="0" t="n">
        <v>0.858</v>
      </c>
      <c r="L50" s="0" t="n">
        <v>1</v>
      </c>
      <c r="M50" s="0" t="n">
        <v>0.909</v>
      </c>
      <c r="N50" s="0" t="n">
        <v>1</v>
      </c>
    </row>
    <row r="51" customFormat="false" ht="15" hidden="false" customHeight="false" outlineLevel="0" collapsed="false">
      <c r="A51" s="0" t="s">
        <v>10</v>
      </c>
      <c r="B51" s="0" t="s">
        <v>258</v>
      </c>
      <c r="C51" s="0" t="n">
        <v>6</v>
      </c>
      <c r="D51" s="0" t="n">
        <v>7512</v>
      </c>
      <c r="E51" s="0" t="n">
        <v>101628</v>
      </c>
      <c r="F51" s="0" t="n">
        <v>1</v>
      </c>
      <c r="G51" s="0" t="n">
        <v>0.887</v>
      </c>
      <c r="H51" s="0" t="n">
        <v>0.924</v>
      </c>
      <c r="I51" s="0" t="n">
        <v>0.068</v>
      </c>
      <c r="J51" s="0" t="n">
        <v>6</v>
      </c>
      <c r="K51" s="0" t="n">
        <v>-0.318</v>
      </c>
      <c r="L51" s="0" t="n">
        <v>0</v>
      </c>
      <c r="M51" s="0" t="n">
        <v>0.167</v>
      </c>
      <c r="N51" s="0" t="n">
        <v>0.006</v>
      </c>
    </row>
    <row r="52" customFormat="false" ht="15" hidden="false" customHeight="false" outlineLevel="0" collapsed="false">
      <c r="A52" s="0" t="s">
        <v>10</v>
      </c>
      <c r="B52" s="0" t="s">
        <v>258</v>
      </c>
      <c r="C52" s="0" t="n">
        <v>8</v>
      </c>
      <c r="D52" s="0" t="n">
        <v>10016</v>
      </c>
      <c r="E52" s="0" t="n">
        <v>99060</v>
      </c>
      <c r="F52" s="0" t="n">
        <v>1</v>
      </c>
      <c r="G52" s="0" t="n">
        <v>0.864</v>
      </c>
      <c r="H52" s="0" t="n">
        <v>0.909</v>
      </c>
      <c r="I52" s="0" t="n">
        <v>0.091</v>
      </c>
      <c r="J52" s="0" t="n">
        <v>8</v>
      </c>
      <c r="K52" s="0" t="n">
        <v>0.012</v>
      </c>
      <c r="L52" s="0" t="n">
        <v>0</v>
      </c>
      <c r="M52" s="0" t="n">
        <v>0.375</v>
      </c>
      <c r="N52" s="0" t="n">
        <v>0.392</v>
      </c>
    </row>
    <row r="53" customFormat="false" ht="15" hidden="false" customHeight="false" outlineLevel="0" collapsed="false">
      <c r="A53" s="0" t="s">
        <v>11</v>
      </c>
      <c r="B53" s="0" t="s">
        <v>256</v>
      </c>
      <c r="C53" s="0" t="n">
        <v>5</v>
      </c>
      <c r="D53" s="0" t="n">
        <v>3850</v>
      </c>
      <c r="E53" s="0" t="n">
        <v>38381</v>
      </c>
      <c r="F53" s="0" t="n">
        <v>1</v>
      </c>
      <c r="G53" s="0" t="n">
        <v>0.891</v>
      </c>
      <c r="H53" s="0" t="n">
        <v>0.977</v>
      </c>
      <c r="I53" s="0" t="n">
        <v>0.091</v>
      </c>
      <c r="J53" s="0" t="n">
        <v>5.38</v>
      </c>
      <c r="K53" s="0" t="n">
        <v>-0.641</v>
      </c>
      <c r="L53" s="0" t="n">
        <v>0</v>
      </c>
      <c r="M53" s="0" t="n">
        <v>-0.106</v>
      </c>
      <c r="N53" s="0" t="n">
        <v>0.006</v>
      </c>
    </row>
    <row r="54" customFormat="false" ht="15" hidden="false" customHeight="false" outlineLevel="0" collapsed="false">
      <c r="A54" s="0" t="s">
        <v>11</v>
      </c>
      <c r="B54" s="0" t="s">
        <v>256</v>
      </c>
      <c r="C54" s="0" t="n">
        <v>10</v>
      </c>
      <c r="D54" s="0" t="n">
        <v>7700</v>
      </c>
      <c r="E54" s="0" t="n">
        <v>34536</v>
      </c>
      <c r="F54" s="0" t="n">
        <v>0.999</v>
      </c>
      <c r="G54" s="0" t="n">
        <v>0.779</v>
      </c>
      <c r="H54" s="0" t="n">
        <v>0.949</v>
      </c>
      <c r="I54" s="0" t="n">
        <v>0.182</v>
      </c>
      <c r="J54" s="0" t="n">
        <v>10.76</v>
      </c>
      <c r="K54" s="0" t="n">
        <v>0.18</v>
      </c>
      <c r="L54" s="0" t="n">
        <v>0.103</v>
      </c>
      <c r="M54" s="0" t="n">
        <v>0.447</v>
      </c>
      <c r="N54" s="0" t="n">
        <v>0.631</v>
      </c>
    </row>
    <row r="55" customFormat="false" ht="15" hidden="false" customHeight="false" outlineLevel="0" collapsed="false">
      <c r="A55" s="0" t="s">
        <v>11</v>
      </c>
      <c r="B55" s="0" t="s">
        <v>256</v>
      </c>
      <c r="C55" s="0" t="n">
        <v>15</v>
      </c>
      <c r="D55" s="0" t="n">
        <v>11550</v>
      </c>
      <c r="E55" s="0" t="n">
        <v>30711</v>
      </c>
      <c r="F55" s="0" t="n">
        <v>0.992</v>
      </c>
      <c r="G55" s="0" t="n">
        <v>0.638</v>
      </c>
      <c r="H55" s="0" t="n">
        <v>0.893</v>
      </c>
      <c r="I55" s="0" t="n">
        <v>0.273</v>
      </c>
      <c r="J55" s="0" t="n">
        <v>16.14</v>
      </c>
      <c r="K55" s="0" t="n">
        <v>0.453</v>
      </c>
      <c r="L55" s="0" t="n">
        <v>0.649</v>
      </c>
      <c r="M55" s="0" t="n">
        <v>0.631</v>
      </c>
      <c r="N55" s="0" t="n">
        <v>0.979</v>
      </c>
    </row>
    <row r="56" customFormat="false" ht="15" hidden="false" customHeight="false" outlineLevel="0" collapsed="false">
      <c r="A56" s="0" t="s">
        <v>11</v>
      </c>
      <c r="B56" s="0" t="s">
        <v>256</v>
      </c>
      <c r="C56" s="0" t="n">
        <v>20</v>
      </c>
      <c r="D56" s="0" t="n">
        <v>15400</v>
      </c>
      <c r="E56" s="0" t="n">
        <v>26843</v>
      </c>
      <c r="F56" s="0" t="n">
        <v>0.969</v>
      </c>
      <c r="G56" s="0" t="n">
        <v>0.502</v>
      </c>
      <c r="H56" s="0" t="n">
        <v>0.801</v>
      </c>
      <c r="I56" s="0" t="n">
        <v>0.364</v>
      </c>
      <c r="J56" s="0" t="n">
        <v>21.52</v>
      </c>
      <c r="K56" s="0" t="n">
        <v>0.59</v>
      </c>
      <c r="L56" s="0" t="n">
        <v>0.946</v>
      </c>
      <c r="M56" s="0" t="n">
        <v>0.723</v>
      </c>
      <c r="N56" s="0" t="n">
        <v>1</v>
      </c>
    </row>
    <row r="57" customFormat="false" ht="15" hidden="false" customHeight="false" outlineLevel="0" collapsed="false">
      <c r="A57" s="0" t="s">
        <v>11</v>
      </c>
      <c r="B57" s="0" t="s">
        <v>256</v>
      </c>
      <c r="C57" s="0" t="n">
        <v>25</v>
      </c>
      <c r="D57" s="0" t="n">
        <v>19249</v>
      </c>
      <c r="E57" s="0" t="n">
        <v>23018</v>
      </c>
      <c r="F57" s="0" t="n">
        <v>0.926</v>
      </c>
      <c r="G57" s="0" t="n">
        <v>0.381</v>
      </c>
      <c r="H57" s="0" t="n">
        <v>0.677</v>
      </c>
      <c r="I57" s="0" t="n">
        <v>0.455</v>
      </c>
      <c r="J57" s="0" t="n">
        <v>26.9</v>
      </c>
      <c r="K57" s="0" t="n">
        <v>0.672</v>
      </c>
      <c r="L57" s="0" t="n">
        <v>0.996</v>
      </c>
      <c r="M57" s="0" t="n">
        <v>0.779</v>
      </c>
      <c r="N57" s="0" t="n">
        <v>1</v>
      </c>
    </row>
    <row r="58" customFormat="false" ht="15" hidden="false" customHeight="false" outlineLevel="0" collapsed="false">
      <c r="A58" s="0" t="s">
        <v>11</v>
      </c>
      <c r="B58" s="0" t="s">
        <v>256</v>
      </c>
      <c r="C58" s="0" t="n">
        <v>30</v>
      </c>
      <c r="D58" s="0" t="n">
        <v>23099</v>
      </c>
      <c r="E58" s="0" t="n">
        <v>19179</v>
      </c>
      <c r="F58" s="0" t="n">
        <v>0.874</v>
      </c>
      <c r="G58" s="0" t="n">
        <v>0.289</v>
      </c>
      <c r="H58" s="0" t="n">
        <v>0.548</v>
      </c>
      <c r="I58" s="0" t="n">
        <v>0.546</v>
      </c>
      <c r="J58" s="0" t="n">
        <v>32.28</v>
      </c>
      <c r="K58" s="0" t="n">
        <v>0.727</v>
      </c>
      <c r="L58" s="0" t="n">
        <v>1</v>
      </c>
      <c r="M58" s="0" t="n">
        <v>0.816</v>
      </c>
      <c r="N58" s="0" t="n">
        <v>1</v>
      </c>
    </row>
    <row r="59" customFormat="false" ht="15" hidden="false" customHeight="false" outlineLevel="0" collapsed="false">
      <c r="A59" s="0" t="s">
        <v>11</v>
      </c>
      <c r="B59" s="0" t="s">
        <v>256</v>
      </c>
      <c r="C59" s="0" t="n">
        <v>40</v>
      </c>
      <c r="D59" s="0" t="n">
        <v>30799</v>
      </c>
      <c r="E59" s="0" t="n">
        <v>11422</v>
      </c>
      <c r="F59" s="0" t="n">
        <v>0.725</v>
      </c>
      <c r="G59" s="0" t="n">
        <v>0.164</v>
      </c>
      <c r="H59" s="0" t="n">
        <v>0.331</v>
      </c>
      <c r="I59" s="0" t="n">
        <v>0.728</v>
      </c>
      <c r="J59" s="0" t="n">
        <v>43.04</v>
      </c>
      <c r="K59" s="0" t="n">
        <v>0.795</v>
      </c>
      <c r="L59" s="0" t="n">
        <v>1</v>
      </c>
      <c r="M59" s="0" t="n">
        <v>0.862</v>
      </c>
      <c r="N59" s="0" t="n">
        <v>1</v>
      </c>
    </row>
    <row r="60" customFormat="false" ht="15" hidden="false" customHeight="false" outlineLevel="0" collapsed="false">
      <c r="A60" s="0" t="s">
        <v>11</v>
      </c>
      <c r="B60" s="0" t="s">
        <v>256</v>
      </c>
      <c r="C60" s="0" t="n">
        <v>50</v>
      </c>
      <c r="D60" s="0" t="n">
        <v>38499</v>
      </c>
      <c r="E60" s="0" t="n">
        <v>3775</v>
      </c>
      <c r="F60" s="0" t="n">
        <v>0.572</v>
      </c>
      <c r="G60" s="0" t="n">
        <v>0.09</v>
      </c>
      <c r="H60" s="0" t="n">
        <v>0.191</v>
      </c>
      <c r="I60" s="0" t="n">
        <v>0.91</v>
      </c>
      <c r="J60" s="0" t="n">
        <v>53.8</v>
      </c>
      <c r="K60" s="0" t="n">
        <v>0.836</v>
      </c>
      <c r="L60" s="0" t="n">
        <v>1</v>
      </c>
      <c r="M60" s="0" t="n">
        <v>0.889</v>
      </c>
      <c r="N60" s="0" t="n">
        <v>1</v>
      </c>
    </row>
    <row r="61" customFormat="false" ht="15" hidden="false" customHeight="false" outlineLevel="0" collapsed="false">
      <c r="A61" s="0" t="s">
        <v>11</v>
      </c>
      <c r="B61" s="0" t="s">
        <v>256</v>
      </c>
      <c r="C61" s="0" t="n">
        <v>60</v>
      </c>
      <c r="D61" s="0" t="n">
        <v>46199</v>
      </c>
      <c r="E61" s="0" t="n">
        <v>-3871</v>
      </c>
      <c r="F61" s="0" t="n">
        <v>0.432</v>
      </c>
      <c r="G61" s="0" t="n">
        <v>0.05</v>
      </c>
      <c r="H61" s="0" t="n">
        <v>0.106</v>
      </c>
      <c r="I61" s="0" t="n">
        <v>1.092</v>
      </c>
      <c r="J61" s="0" t="n">
        <v>64.56</v>
      </c>
      <c r="K61" s="0" t="n">
        <v>0.863</v>
      </c>
      <c r="L61" s="0" t="n">
        <v>1</v>
      </c>
      <c r="M61" s="0" t="n">
        <v>0.908</v>
      </c>
      <c r="N61" s="0" t="n">
        <v>1</v>
      </c>
    </row>
    <row r="62" customFormat="false" ht="15" hidden="false" customHeight="false" outlineLevel="0" collapsed="false">
      <c r="A62" s="0" t="s">
        <v>11</v>
      </c>
      <c r="B62" s="0" t="s">
        <v>256</v>
      </c>
      <c r="C62" s="0" t="n">
        <v>75</v>
      </c>
      <c r="D62" s="0" t="n">
        <v>57748</v>
      </c>
      <c r="E62" s="0" t="n">
        <v>-15339</v>
      </c>
      <c r="F62" s="0" t="n">
        <v>0.267</v>
      </c>
      <c r="G62" s="0" t="n">
        <v>0.02</v>
      </c>
      <c r="H62" s="0" t="n">
        <v>0.045</v>
      </c>
      <c r="I62" s="0" t="n">
        <v>1.365</v>
      </c>
      <c r="J62" s="0" t="n">
        <v>80.7</v>
      </c>
      <c r="K62" s="0" t="n">
        <v>0.891</v>
      </c>
      <c r="L62" s="0" t="n">
        <v>1</v>
      </c>
      <c r="M62" s="0" t="n">
        <v>0.926</v>
      </c>
      <c r="N62" s="0" t="n">
        <v>1</v>
      </c>
    </row>
    <row r="63" customFormat="false" ht="15" hidden="false" customHeight="false" outlineLevel="0" collapsed="false">
      <c r="A63" s="0" t="s">
        <v>11</v>
      </c>
      <c r="B63" s="0" t="s">
        <v>256</v>
      </c>
      <c r="C63" s="0" t="n">
        <v>100</v>
      </c>
      <c r="D63" s="0" t="n">
        <v>76998</v>
      </c>
      <c r="E63" s="0" t="n">
        <v>-34523</v>
      </c>
      <c r="F63" s="0" t="n">
        <v>0.108</v>
      </c>
      <c r="G63" s="0" t="n">
        <v>0.003</v>
      </c>
      <c r="H63" s="0" t="n">
        <v>0.008</v>
      </c>
      <c r="I63" s="0" t="n">
        <v>1.82</v>
      </c>
      <c r="J63" s="0" t="n">
        <v>107.6</v>
      </c>
      <c r="K63" s="0" t="n">
        <v>0.918</v>
      </c>
      <c r="L63" s="0" t="n">
        <v>1</v>
      </c>
      <c r="M63" s="0" t="n">
        <v>0.945</v>
      </c>
      <c r="N63" s="0" t="n">
        <v>1</v>
      </c>
    </row>
    <row r="64" customFormat="false" ht="15" hidden="false" customHeight="false" outlineLevel="0" collapsed="false">
      <c r="A64" s="0" t="s">
        <v>11</v>
      </c>
      <c r="B64" s="0" t="s">
        <v>256</v>
      </c>
      <c r="C64" s="0" t="n">
        <v>150</v>
      </c>
      <c r="D64" s="0" t="n">
        <v>115497</v>
      </c>
      <c r="E64" s="0" t="n">
        <v>-72900</v>
      </c>
      <c r="F64" s="0" t="n">
        <v>0.014</v>
      </c>
      <c r="G64" s="0" t="n">
        <v>0</v>
      </c>
      <c r="H64" s="0" t="n">
        <v>0</v>
      </c>
      <c r="I64" s="0" t="n">
        <v>2.73</v>
      </c>
      <c r="J64" s="0" t="n">
        <v>161.4</v>
      </c>
      <c r="K64" s="0" t="n">
        <v>0.945</v>
      </c>
      <c r="L64" s="0" t="n">
        <v>1</v>
      </c>
      <c r="M64" s="0" t="n">
        <v>0.963</v>
      </c>
      <c r="N64" s="0" t="n">
        <v>1</v>
      </c>
    </row>
    <row r="65" customFormat="false" ht="15" hidden="false" customHeight="false" outlineLevel="0" collapsed="false">
      <c r="A65" s="0" t="s">
        <v>11</v>
      </c>
      <c r="B65" s="0" t="s">
        <v>256</v>
      </c>
      <c r="C65" s="0" t="n">
        <v>200</v>
      </c>
      <c r="D65" s="0" t="n">
        <v>153995</v>
      </c>
      <c r="E65" s="0" t="n">
        <v>-111228</v>
      </c>
      <c r="F65" s="0" t="n">
        <v>0.002</v>
      </c>
      <c r="G65" s="0" t="n">
        <v>0</v>
      </c>
      <c r="H65" s="0" t="n">
        <v>0</v>
      </c>
      <c r="I65" s="0" t="n">
        <v>3.64</v>
      </c>
      <c r="J65" s="0" t="n">
        <v>215.2</v>
      </c>
      <c r="K65" s="0" t="n">
        <v>0.959</v>
      </c>
      <c r="L65" s="0" t="n">
        <v>1</v>
      </c>
      <c r="M65" s="0" t="n">
        <v>0.972</v>
      </c>
      <c r="N65" s="0" t="n">
        <v>1</v>
      </c>
    </row>
    <row r="66" customFormat="false" ht="15" hidden="false" customHeight="false" outlineLevel="0" collapsed="false">
      <c r="A66" s="0" t="s">
        <v>11</v>
      </c>
      <c r="B66" s="0" t="s">
        <v>256</v>
      </c>
      <c r="C66" s="0" t="n">
        <v>300</v>
      </c>
      <c r="D66" s="0" t="n">
        <v>230993</v>
      </c>
      <c r="E66" s="0" t="n">
        <v>-187838</v>
      </c>
      <c r="F66" s="0" t="n">
        <v>0</v>
      </c>
      <c r="G66" s="0" t="n">
        <v>0</v>
      </c>
      <c r="H66" s="0" t="n">
        <v>0</v>
      </c>
      <c r="I66" s="0" t="n">
        <v>5.46</v>
      </c>
      <c r="J66" s="0" t="n">
        <v>322.8</v>
      </c>
      <c r="K66" s="0" t="n">
        <v>0.973</v>
      </c>
      <c r="L66" s="0" t="n">
        <v>1</v>
      </c>
      <c r="M66" s="0" t="n">
        <v>0.982</v>
      </c>
      <c r="N66" s="0" t="n">
        <v>1</v>
      </c>
    </row>
    <row r="67" customFormat="false" ht="15" hidden="false" customHeight="false" outlineLevel="0" collapsed="false">
      <c r="A67" s="0" t="s">
        <v>11</v>
      </c>
      <c r="B67" s="0" t="s">
        <v>257</v>
      </c>
      <c r="C67" s="0" t="n">
        <v>100</v>
      </c>
      <c r="D67" s="0" t="n">
        <v>1565</v>
      </c>
      <c r="E67" s="0" t="n">
        <v>40612</v>
      </c>
      <c r="F67" s="0" t="n">
        <v>1</v>
      </c>
      <c r="G67" s="0" t="n">
        <v>0.936</v>
      </c>
      <c r="H67" s="0" t="n">
        <v>0.984</v>
      </c>
      <c r="I67" s="0" t="n">
        <v>0.037</v>
      </c>
      <c r="J67" s="0" t="n">
        <v>2.2</v>
      </c>
      <c r="K67" s="0" t="n">
        <v>-3.024</v>
      </c>
      <c r="L67" s="0" t="n">
        <v>0</v>
      </c>
      <c r="M67" s="0" t="n">
        <v>-1.714</v>
      </c>
      <c r="N67" s="0" t="n">
        <v>0</v>
      </c>
    </row>
    <row r="68" customFormat="false" ht="15" hidden="false" customHeight="false" outlineLevel="0" collapsed="false">
      <c r="A68" s="0" t="s">
        <v>11</v>
      </c>
      <c r="B68" s="0" t="s">
        <v>257</v>
      </c>
      <c r="C68" s="0" t="n">
        <v>150</v>
      </c>
      <c r="D68" s="0" t="n">
        <v>2348</v>
      </c>
      <c r="E68" s="0" t="n">
        <v>39787</v>
      </c>
      <c r="F68" s="0" t="n">
        <v>1</v>
      </c>
      <c r="G68" s="0" t="n">
        <v>0.929</v>
      </c>
      <c r="H68" s="0" t="n">
        <v>0.982</v>
      </c>
      <c r="I68" s="0" t="n">
        <v>0.055</v>
      </c>
      <c r="J68" s="0" t="n">
        <v>3.31</v>
      </c>
      <c r="K68" s="0" t="n">
        <v>-1.683</v>
      </c>
      <c r="L68" s="0" t="n">
        <v>0</v>
      </c>
      <c r="M68" s="0" t="n">
        <v>-0.81</v>
      </c>
      <c r="N68" s="0" t="n">
        <v>0.001</v>
      </c>
    </row>
    <row r="69" customFormat="false" ht="15" hidden="false" customHeight="false" outlineLevel="0" collapsed="false">
      <c r="A69" s="0" t="s">
        <v>11</v>
      </c>
      <c r="B69" s="0" t="s">
        <v>257</v>
      </c>
      <c r="C69" s="0" t="n">
        <v>200</v>
      </c>
      <c r="D69" s="0" t="n">
        <v>3130</v>
      </c>
      <c r="E69" s="0" t="n">
        <v>38997</v>
      </c>
      <c r="F69" s="0" t="n">
        <v>1</v>
      </c>
      <c r="G69" s="0" t="n">
        <v>0.918</v>
      </c>
      <c r="H69" s="0" t="n">
        <v>0.98</v>
      </c>
      <c r="I69" s="0" t="n">
        <v>0.073</v>
      </c>
      <c r="J69" s="0" t="n">
        <v>4.41</v>
      </c>
      <c r="K69" s="0" t="n">
        <v>-1.012</v>
      </c>
      <c r="L69" s="0" t="n">
        <v>0</v>
      </c>
      <c r="M69" s="0" t="n">
        <v>-0.357</v>
      </c>
      <c r="N69" s="0" t="n">
        <v>0.014</v>
      </c>
    </row>
    <row r="70" customFormat="false" ht="15" hidden="false" customHeight="false" outlineLevel="0" collapsed="false">
      <c r="A70" s="0" t="s">
        <v>11</v>
      </c>
      <c r="B70" s="0" t="s">
        <v>257</v>
      </c>
      <c r="C70" s="0" t="n">
        <v>300</v>
      </c>
      <c r="D70" s="0" t="n">
        <v>4695</v>
      </c>
      <c r="E70" s="0" t="n">
        <v>37391</v>
      </c>
      <c r="F70" s="0" t="n">
        <v>1</v>
      </c>
      <c r="G70" s="0" t="n">
        <v>0.892</v>
      </c>
      <c r="H70" s="0" t="n">
        <v>0.974</v>
      </c>
      <c r="I70" s="0" t="n">
        <v>0.11</v>
      </c>
      <c r="J70" s="0" t="n">
        <v>6.61</v>
      </c>
      <c r="K70" s="0" t="n">
        <v>-0.341</v>
      </c>
      <c r="L70" s="0" t="n">
        <v>0.013</v>
      </c>
      <c r="M70" s="0" t="n">
        <v>0.095</v>
      </c>
      <c r="N70" s="0" t="n">
        <v>0.146</v>
      </c>
    </row>
    <row r="71" customFormat="false" ht="15" hidden="false" customHeight="false" outlineLevel="0" collapsed="false">
      <c r="A71" s="0" t="s">
        <v>11</v>
      </c>
      <c r="B71" s="0" t="s">
        <v>257</v>
      </c>
      <c r="C71" s="0" t="n">
        <v>400</v>
      </c>
      <c r="D71" s="0" t="n">
        <v>6260</v>
      </c>
      <c r="E71" s="0" t="n">
        <v>35774</v>
      </c>
      <c r="F71" s="0" t="n">
        <v>1</v>
      </c>
      <c r="G71" s="0" t="n">
        <v>0.86</v>
      </c>
      <c r="H71" s="0" t="n">
        <v>0.966</v>
      </c>
      <c r="I71" s="0" t="n">
        <v>0.146</v>
      </c>
      <c r="J71" s="0" t="n">
        <v>8.82</v>
      </c>
      <c r="K71" s="0" t="n">
        <v>-0.006</v>
      </c>
      <c r="L71" s="0" t="n">
        <v>0.086</v>
      </c>
      <c r="M71" s="0" t="n">
        <v>0.321</v>
      </c>
      <c r="N71" s="0" t="n">
        <v>0.381</v>
      </c>
    </row>
    <row r="72" customFormat="false" ht="15" hidden="false" customHeight="false" outlineLevel="0" collapsed="false">
      <c r="A72" s="0" t="s">
        <v>11</v>
      </c>
      <c r="B72" s="0" t="s">
        <v>257</v>
      </c>
      <c r="C72" s="0" t="n">
        <v>500</v>
      </c>
      <c r="D72" s="0" t="n">
        <v>7825</v>
      </c>
      <c r="E72" s="0" t="n">
        <v>34167</v>
      </c>
      <c r="F72" s="0" t="n">
        <v>1</v>
      </c>
      <c r="G72" s="0" t="n">
        <v>0.818</v>
      </c>
      <c r="H72" s="0" t="n">
        <v>0.956</v>
      </c>
      <c r="I72" s="0" t="n">
        <v>0.183</v>
      </c>
      <c r="J72" s="0" t="n">
        <v>11.02</v>
      </c>
      <c r="K72" s="0" t="n">
        <v>0.195</v>
      </c>
      <c r="L72" s="0" t="n">
        <v>0.227</v>
      </c>
      <c r="M72" s="0" t="n">
        <v>0.457</v>
      </c>
      <c r="N72" s="0" t="n">
        <v>0.594</v>
      </c>
    </row>
    <row r="73" customFormat="false" ht="15" hidden="false" customHeight="false" outlineLevel="0" collapsed="false">
      <c r="A73" s="0" t="s">
        <v>11</v>
      </c>
      <c r="B73" s="0" t="s">
        <v>257</v>
      </c>
      <c r="C73" s="0" t="n">
        <v>750</v>
      </c>
      <c r="D73" s="0" t="n">
        <v>11738</v>
      </c>
      <c r="E73" s="0" t="n">
        <v>30154</v>
      </c>
      <c r="F73" s="0" t="n">
        <v>1</v>
      </c>
      <c r="G73" s="0" t="n">
        <v>0.687</v>
      </c>
      <c r="H73" s="0" t="n">
        <v>0.911</v>
      </c>
      <c r="I73" s="0" t="n">
        <v>0.274</v>
      </c>
      <c r="J73" s="0" t="n">
        <v>16.54</v>
      </c>
      <c r="K73" s="0" t="n">
        <v>0.463</v>
      </c>
      <c r="L73" s="0" t="n">
        <v>0.609</v>
      </c>
      <c r="M73" s="0" t="n">
        <v>0.638</v>
      </c>
      <c r="N73" s="0" t="n">
        <v>0.872</v>
      </c>
    </row>
    <row r="74" customFormat="false" ht="15" hidden="false" customHeight="false" outlineLevel="0" collapsed="false">
      <c r="A74" s="0" t="s">
        <v>11</v>
      </c>
      <c r="B74" s="0" t="s">
        <v>257</v>
      </c>
      <c r="C74" s="0" t="n">
        <v>1000</v>
      </c>
      <c r="D74" s="0" t="n">
        <v>15651</v>
      </c>
      <c r="E74" s="0" t="n">
        <v>26190</v>
      </c>
      <c r="F74" s="0" t="n">
        <v>1</v>
      </c>
      <c r="G74" s="0" t="n">
        <v>0.524</v>
      </c>
      <c r="H74" s="0" t="n">
        <v>0.835</v>
      </c>
      <c r="I74" s="0" t="n">
        <v>0.365</v>
      </c>
      <c r="J74" s="0" t="n">
        <v>22.05</v>
      </c>
      <c r="K74" s="0" t="n">
        <v>0.598</v>
      </c>
      <c r="L74" s="0" t="n">
        <v>0.824</v>
      </c>
      <c r="M74" s="0" t="n">
        <v>0.729</v>
      </c>
      <c r="N74" s="0" t="n">
        <v>0.961</v>
      </c>
    </row>
    <row r="75" customFormat="false" ht="15" hidden="false" customHeight="false" outlineLevel="0" collapsed="false">
      <c r="A75" s="0" t="s">
        <v>11</v>
      </c>
      <c r="B75" s="0" t="s">
        <v>257</v>
      </c>
      <c r="C75" s="0" t="n">
        <v>1500</v>
      </c>
      <c r="D75" s="0" t="n">
        <v>23476</v>
      </c>
      <c r="E75" s="0" t="n">
        <v>18358</v>
      </c>
      <c r="F75" s="0" t="n">
        <v>0.98</v>
      </c>
      <c r="G75" s="0" t="n">
        <v>0.243</v>
      </c>
      <c r="H75" s="0" t="n">
        <v>0.579</v>
      </c>
      <c r="I75" s="0" t="n">
        <v>0.548</v>
      </c>
      <c r="J75" s="0" t="n">
        <v>33.07</v>
      </c>
      <c r="K75" s="0" t="n">
        <v>0.732</v>
      </c>
      <c r="L75" s="0" t="n">
        <v>0.965</v>
      </c>
      <c r="M75" s="0" t="n">
        <v>0.819</v>
      </c>
      <c r="N75" s="0" t="n">
        <v>0.996</v>
      </c>
    </row>
    <row r="76" customFormat="false" ht="15" hidden="false" customHeight="false" outlineLevel="0" collapsed="false">
      <c r="A76" s="0" t="s">
        <v>11</v>
      </c>
      <c r="B76" s="0" t="s">
        <v>258</v>
      </c>
      <c r="C76" s="0" t="n">
        <v>6</v>
      </c>
      <c r="D76" s="0" t="n">
        <v>4286</v>
      </c>
      <c r="E76" s="0" t="n">
        <v>37844</v>
      </c>
      <c r="F76" s="0" t="n">
        <v>1</v>
      </c>
      <c r="G76" s="0" t="n">
        <v>0.887</v>
      </c>
      <c r="H76" s="0" t="n">
        <v>0.975</v>
      </c>
      <c r="I76" s="0" t="n">
        <v>0.101</v>
      </c>
      <c r="J76" s="0" t="n">
        <v>6</v>
      </c>
      <c r="K76" s="0" t="n">
        <v>-0.471</v>
      </c>
      <c r="L76" s="0" t="n">
        <v>0</v>
      </c>
      <c r="M76" s="0" t="n">
        <v>0.016</v>
      </c>
      <c r="N76" s="0" t="n">
        <v>0</v>
      </c>
    </row>
    <row r="77" customFormat="false" ht="15" hidden="false" customHeight="false" outlineLevel="0" collapsed="false">
      <c r="A77" s="0" t="s">
        <v>11</v>
      </c>
      <c r="B77" s="0" t="s">
        <v>258</v>
      </c>
      <c r="C77" s="0" t="n">
        <v>8</v>
      </c>
      <c r="D77" s="0" t="n">
        <v>5715</v>
      </c>
      <c r="E77" s="0" t="n">
        <v>36390</v>
      </c>
      <c r="F77" s="0" t="n">
        <v>1</v>
      </c>
      <c r="G77" s="0" t="n">
        <v>0.849</v>
      </c>
      <c r="H77" s="0" t="n">
        <v>0.968</v>
      </c>
      <c r="I77" s="0" t="n">
        <v>0.134</v>
      </c>
      <c r="J77" s="0" t="n">
        <v>8</v>
      </c>
      <c r="K77" s="0" t="n">
        <v>-0.103</v>
      </c>
      <c r="L77" s="0" t="n">
        <v>0</v>
      </c>
      <c r="M77" s="0" t="n">
        <v>0.262</v>
      </c>
      <c r="N77" s="0" t="n">
        <v>0.106</v>
      </c>
    </row>
    <row r="78" customFormat="false" ht="15" hidden="false" customHeight="false" outlineLevel="0" collapsed="false">
      <c r="A78" s="0" t="s">
        <v>12</v>
      </c>
      <c r="B78" s="0" t="s">
        <v>256</v>
      </c>
      <c r="C78" s="0" t="n">
        <v>5</v>
      </c>
      <c r="D78" s="0" t="n">
        <v>3702</v>
      </c>
      <c r="E78" s="0" t="n">
        <v>32754</v>
      </c>
      <c r="F78" s="0" t="n">
        <v>1</v>
      </c>
      <c r="G78" s="0" t="n">
        <v>0.912</v>
      </c>
      <c r="H78" s="0" t="n">
        <v>0.982</v>
      </c>
      <c r="I78" s="0" t="n">
        <v>0.102</v>
      </c>
      <c r="J78" s="0" t="n">
        <v>4.14</v>
      </c>
      <c r="K78" s="0" t="n">
        <v>-1.01</v>
      </c>
      <c r="L78" s="0" t="n">
        <v>0</v>
      </c>
      <c r="M78" s="0" t="n">
        <v>-0.316</v>
      </c>
      <c r="N78" s="0" t="n">
        <v>0</v>
      </c>
    </row>
    <row r="79" customFormat="false" ht="15" hidden="false" customHeight="false" outlineLevel="0" collapsed="false">
      <c r="A79" s="0" t="s">
        <v>12</v>
      </c>
      <c r="B79" s="0" t="s">
        <v>256</v>
      </c>
      <c r="C79" s="0" t="n">
        <v>10</v>
      </c>
      <c r="D79" s="0" t="n">
        <v>7403</v>
      </c>
      <c r="E79" s="0" t="n">
        <v>29057</v>
      </c>
      <c r="F79" s="0" t="n">
        <v>0.996</v>
      </c>
      <c r="G79" s="0" t="n">
        <v>0.791</v>
      </c>
      <c r="H79" s="0" t="n">
        <v>0.956</v>
      </c>
      <c r="I79" s="0" t="n">
        <v>0.203</v>
      </c>
      <c r="J79" s="0" t="n">
        <v>8.28</v>
      </c>
      <c r="K79" s="0" t="n">
        <v>-0.005</v>
      </c>
      <c r="L79" s="0" t="n">
        <v>0.02</v>
      </c>
      <c r="M79" s="0" t="n">
        <v>0.342</v>
      </c>
      <c r="N79" s="0" t="n">
        <v>0.353</v>
      </c>
    </row>
    <row r="80" customFormat="false" ht="15" hidden="false" customHeight="false" outlineLevel="0" collapsed="false">
      <c r="A80" s="0" t="s">
        <v>12</v>
      </c>
      <c r="B80" s="0" t="s">
        <v>256</v>
      </c>
      <c r="C80" s="0" t="n">
        <v>15</v>
      </c>
      <c r="D80" s="0" t="n">
        <v>11105</v>
      </c>
      <c r="E80" s="0" t="n">
        <v>25346</v>
      </c>
      <c r="F80" s="0" t="n">
        <v>0.979</v>
      </c>
      <c r="G80" s="0" t="n">
        <v>0.632</v>
      </c>
      <c r="H80" s="0" t="n">
        <v>0.894</v>
      </c>
      <c r="I80" s="0" t="n">
        <v>0.305</v>
      </c>
      <c r="J80" s="0" t="n">
        <v>12.41</v>
      </c>
      <c r="K80" s="0" t="n">
        <v>0.33</v>
      </c>
      <c r="L80" s="0" t="n">
        <v>0.327</v>
      </c>
      <c r="M80" s="0" t="n">
        <v>0.561</v>
      </c>
      <c r="N80" s="0" t="n">
        <v>0.911</v>
      </c>
    </row>
    <row r="81" customFormat="false" ht="15" hidden="false" customHeight="false" outlineLevel="0" collapsed="false">
      <c r="A81" s="0" t="s">
        <v>12</v>
      </c>
      <c r="B81" s="0" t="s">
        <v>256</v>
      </c>
      <c r="C81" s="0" t="n">
        <v>20</v>
      </c>
      <c r="D81" s="0" t="n">
        <v>14806</v>
      </c>
      <c r="E81" s="0" t="n">
        <v>21582</v>
      </c>
      <c r="F81" s="0" t="n">
        <v>0.941</v>
      </c>
      <c r="G81" s="0" t="n">
        <v>0.483</v>
      </c>
      <c r="H81" s="0" t="n">
        <v>0.792</v>
      </c>
      <c r="I81" s="0" t="n">
        <v>0.406</v>
      </c>
      <c r="J81" s="0" t="n">
        <v>16.55</v>
      </c>
      <c r="K81" s="0" t="n">
        <v>0.498</v>
      </c>
      <c r="L81" s="0" t="n">
        <v>0.776</v>
      </c>
      <c r="M81" s="0" t="n">
        <v>0.671</v>
      </c>
      <c r="N81" s="0" t="n">
        <v>0.997</v>
      </c>
    </row>
    <row r="82" customFormat="false" ht="15" hidden="false" customHeight="false" outlineLevel="0" collapsed="false">
      <c r="A82" s="0" t="s">
        <v>12</v>
      </c>
      <c r="B82" s="0" t="s">
        <v>256</v>
      </c>
      <c r="C82" s="0" t="n">
        <v>25</v>
      </c>
      <c r="D82" s="0" t="n">
        <v>18508</v>
      </c>
      <c r="E82" s="0" t="n">
        <v>17885</v>
      </c>
      <c r="F82" s="0" t="n">
        <v>0.876</v>
      </c>
      <c r="G82" s="0" t="n">
        <v>0.365</v>
      </c>
      <c r="H82" s="0" t="n">
        <v>0.659</v>
      </c>
      <c r="I82" s="0" t="n">
        <v>0.508</v>
      </c>
      <c r="J82" s="0" t="n">
        <v>20.69</v>
      </c>
      <c r="K82" s="0" t="n">
        <v>0.598</v>
      </c>
      <c r="L82" s="0" t="n">
        <v>0.96</v>
      </c>
      <c r="M82" s="0" t="n">
        <v>0.737</v>
      </c>
      <c r="N82" s="0" t="n">
        <v>1</v>
      </c>
    </row>
    <row r="83" customFormat="false" ht="15" hidden="false" customHeight="false" outlineLevel="0" collapsed="false">
      <c r="A83" s="0" t="s">
        <v>12</v>
      </c>
      <c r="B83" s="0" t="s">
        <v>256</v>
      </c>
      <c r="C83" s="0" t="n">
        <v>30</v>
      </c>
      <c r="D83" s="0" t="n">
        <v>22209</v>
      </c>
      <c r="E83" s="0" t="n">
        <v>14192</v>
      </c>
      <c r="F83" s="0" t="n">
        <v>0.802</v>
      </c>
      <c r="G83" s="0" t="n">
        <v>0.271</v>
      </c>
      <c r="H83" s="0" t="n">
        <v>0.523</v>
      </c>
      <c r="I83" s="0" t="n">
        <v>0.61</v>
      </c>
      <c r="J83" s="0" t="n">
        <v>24.83</v>
      </c>
      <c r="K83" s="0" t="n">
        <v>0.665</v>
      </c>
      <c r="L83" s="0" t="n">
        <v>0.996</v>
      </c>
      <c r="M83" s="0" t="n">
        <v>0.781</v>
      </c>
      <c r="N83" s="0" t="n">
        <v>1</v>
      </c>
    </row>
    <row r="84" customFormat="false" ht="15" hidden="false" customHeight="false" outlineLevel="0" collapsed="false">
      <c r="A84" s="0" t="s">
        <v>12</v>
      </c>
      <c r="B84" s="0" t="s">
        <v>256</v>
      </c>
      <c r="C84" s="0" t="n">
        <v>40</v>
      </c>
      <c r="D84" s="0" t="n">
        <v>29612</v>
      </c>
      <c r="E84" s="0" t="n">
        <v>6789</v>
      </c>
      <c r="F84" s="0" t="n">
        <v>0.636</v>
      </c>
      <c r="G84" s="0" t="n">
        <v>0.151</v>
      </c>
      <c r="H84" s="0" t="n">
        <v>0.308</v>
      </c>
      <c r="I84" s="0" t="n">
        <v>0.813</v>
      </c>
      <c r="J84" s="0" t="n">
        <v>33.1</v>
      </c>
      <c r="K84" s="0" t="n">
        <v>0.749</v>
      </c>
      <c r="L84" s="0" t="n">
        <v>1</v>
      </c>
      <c r="M84" s="0" t="n">
        <v>0.836</v>
      </c>
      <c r="N84" s="0" t="n">
        <v>1</v>
      </c>
    </row>
    <row r="85" customFormat="false" ht="15" hidden="false" customHeight="false" outlineLevel="0" collapsed="false">
      <c r="A85" s="0" t="s">
        <v>12</v>
      </c>
      <c r="B85" s="0" t="s">
        <v>256</v>
      </c>
      <c r="C85" s="0" t="n">
        <v>50</v>
      </c>
      <c r="D85" s="0" t="n">
        <v>37015</v>
      </c>
      <c r="E85" s="0" t="n">
        <v>-589</v>
      </c>
      <c r="F85" s="0" t="n">
        <v>0.49</v>
      </c>
      <c r="G85" s="0" t="n">
        <v>0.084</v>
      </c>
      <c r="H85" s="0" t="n">
        <v>0.173</v>
      </c>
      <c r="I85" s="0" t="n">
        <v>1.016</v>
      </c>
      <c r="J85" s="0" t="n">
        <v>41.38</v>
      </c>
      <c r="K85" s="0" t="n">
        <v>0.799</v>
      </c>
      <c r="L85" s="0" t="n">
        <v>1</v>
      </c>
      <c r="M85" s="0" t="n">
        <v>0.868</v>
      </c>
      <c r="N85" s="0" t="n">
        <v>1</v>
      </c>
    </row>
    <row r="86" customFormat="false" ht="15" hidden="false" customHeight="false" outlineLevel="0" collapsed="false">
      <c r="A86" s="0" t="s">
        <v>12</v>
      </c>
      <c r="B86" s="0" t="s">
        <v>256</v>
      </c>
      <c r="C86" s="0" t="n">
        <v>60</v>
      </c>
      <c r="D86" s="0" t="n">
        <v>44418</v>
      </c>
      <c r="E86" s="0" t="n">
        <v>-7953</v>
      </c>
      <c r="F86" s="0" t="n">
        <v>0.368</v>
      </c>
      <c r="G86" s="0" t="n">
        <v>0.049</v>
      </c>
      <c r="H86" s="0" t="n">
        <v>0.096</v>
      </c>
      <c r="I86" s="0" t="n">
        <v>1.219</v>
      </c>
      <c r="J86" s="0" t="n">
        <v>49.65</v>
      </c>
      <c r="K86" s="0" t="n">
        <v>0.833</v>
      </c>
      <c r="L86" s="0" t="n">
        <v>1</v>
      </c>
      <c r="M86" s="0" t="n">
        <v>0.89</v>
      </c>
      <c r="N86" s="0" t="n">
        <v>1</v>
      </c>
    </row>
    <row r="87" customFormat="false" ht="15" hidden="false" customHeight="false" outlineLevel="0" collapsed="false">
      <c r="A87" s="0" t="s">
        <v>12</v>
      </c>
      <c r="B87" s="0" t="s">
        <v>256</v>
      </c>
      <c r="C87" s="0" t="n">
        <v>75</v>
      </c>
      <c r="D87" s="0" t="n">
        <v>55523</v>
      </c>
      <c r="E87" s="0" t="n">
        <v>-18990</v>
      </c>
      <c r="F87" s="0" t="n">
        <v>0.227</v>
      </c>
      <c r="G87" s="0" t="n">
        <v>0.02</v>
      </c>
      <c r="H87" s="0" t="n">
        <v>0.043</v>
      </c>
      <c r="I87" s="0" t="n">
        <v>1.524</v>
      </c>
      <c r="J87" s="0" t="n">
        <v>62.06</v>
      </c>
      <c r="K87" s="0" t="n">
        <v>0.866</v>
      </c>
      <c r="L87" s="0" t="n">
        <v>1</v>
      </c>
      <c r="M87" s="0" t="n">
        <v>0.912</v>
      </c>
      <c r="N87" s="0" t="n">
        <v>1</v>
      </c>
    </row>
    <row r="88" customFormat="false" ht="15" hidden="false" customHeight="false" outlineLevel="0" collapsed="false">
      <c r="A88" s="0" t="s">
        <v>12</v>
      </c>
      <c r="B88" s="0" t="s">
        <v>256</v>
      </c>
      <c r="C88" s="0" t="n">
        <v>100</v>
      </c>
      <c r="D88" s="0" t="n">
        <v>74030</v>
      </c>
      <c r="E88" s="0" t="n">
        <v>-37364</v>
      </c>
      <c r="F88" s="0" t="n">
        <v>0.1</v>
      </c>
      <c r="G88" s="0" t="n">
        <v>0.005</v>
      </c>
      <c r="H88" s="0" t="n">
        <v>0.009</v>
      </c>
      <c r="I88" s="0" t="n">
        <v>2.032</v>
      </c>
      <c r="J88" s="0" t="n">
        <v>82.75</v>
      </c>
      <c r="K88" s="0" t="n">
        <v>0.9</v>
      </c>
      <c r="L88" s="0" t="n">
        <v>1</v>
      </c>
      <c r="M88" s="0" t="n">
        <v>0.934</v>
      </c>
      <c r="N88" s="0" t="n">
        <v>1</v>
      </c>
    </row>
    <row r="89" customFormat="false" ht="15" hidden="false" customHeight="false" outlineLevel="0" collapsed="false">
      <c r="A89" s="0" t="s">
        <v>12</v>
      </c>
      <c r="B89" s="0" t="s">
        <v>256</v>
      </c>
      <c r="C89" s="0" t="n">
        <v>150</v>
      </c>
      <c r="D89" s="0" t="n">
        <v>111045</v>
      </c>
      <c r="E89" s="0" t="n">
        <v>-74200</v>
      </c>
      <c r="F89" s="0" t="n">
        <v>0.018</v>
      </c>
      <c r="G89" s="0" t="n">
        <v>0</v>
      </c>
      <c r="H89" s="0" t="n">
        <v>0.001</v>
      </c>
      <c r="I89" s="0" t="n">
        <v>3.049</v>
      </c>
      <c r="J89" s="0" t="n">
        <v>124.13</v>
      </c>
      <c r="K89" s="0" t="n">
        <v>0.933</v>
      </c>
      <c r="L89" s="0" t="n">
        <v>1</v>
      </c>
      <c r="M89" s="0" t="n">
        <v>0.956</v>
      </c>
      <c r="N89" s="0" t="n">
        <v>1</v>
      </c>
    </row>
    <row r="90" customFormat="false" ht="15" hidden="false" customHeight="false" outlineLevel="0" collapsed="false">
      <c r="A90" s="0" t="s">
        <v>12</v>
      </c>
      <c r="B90" s="0" t="s">
        <v>256</v>
      </c>
      <c r="C90" s="0" t="n">
        <v>200</v>
      </c>
      <c r="D90" s="0" t="n">
        <v>148060</v>
      </c>
      <c r="E90" s="0" t="n">
        <v>-110974</v>
      </c>
      <c r="F90" s="0" t="n">
        <v>0.003</v>
      </c>
      <c r="G90" s="0" t="n">
        <v>0</v>
      </c>
      <c r="H90" s="0" t="n">
        <v>0</v>
      </c>
      <c r="I90" s="0" t="n">
        <v>4.065</v>
      </c>
      <c r="J90" s="0" t="n">
        <v>165.51</v>
      </c>
      <c r="K90" s="0" t="n">
        <v>0.95</v>
      </c>
      <c r="L90" s="0" t="n">
        <v>1</v>
      </c>
      <c r="M90" s="0" t="n">
        <v>0.967</v>
      </c>
      <c r="N90" s="0" t="n">
        <v>1</v>
      </c>
    </row>
    <row r="91" customFormat="false" ht="15" hidden="false" customHeight="false" outlineLevel="0" collapsed="false">
      <c r="A91" s="0" t="s">
        <v>12</v>
      </c>
      <c r="B91" s="0" t="s">
        <v>256</v>
      </c>
      <c r="C91" s="0" t="n">
        <v>300</v>
      </c>
      <c r="D91" s="0" t="n">
        <v>222090</v>
      </c>
      <c r="E91" s="0" t="n">
        <v>-184442</v>
      </c>
      <c r="F91" s="0" t="n">
        <v>0</v>
      </c>
      <c r="G91" s="0" t="n">
        <v>0</v>
      </c>
      <c r="H91" s="0" t="n">
        <v>0</v>
      </c>
      <c r="I91" s="0" t="n">
        <v>6.097</v>
      </c>
      <c r="J91" s="0" t="n">
        <v>248.26</v>
      </c>
      <c r="K91" s="0" t="n">
        <v>0.967</v>
      </c>
      <c r="L91" s="0" t="n">
        <v>1</v>
      </c>
      <c r="M91" s="0" t="n">
        <v>0.978</v>
      </c>
      <c r="N91" s="0" t="n">
        <v>1</v>
      </c>
    </row>
    <row r="92" customFormat="false" ht="15" hidden="false" customHeight="false" outlineLevel="0" collapsed="false">
      <c r="A92" s="0" t="s">
        <v>12</v>
      </c>
      <c r="B92" s="0" t="s">
        <v>257</v>
      </c>
      <c r="C92" s="0" t="n">
        <v>100</v>
      </c>
      <c r="D92" s="0" t="n">
        <v>1906</v>
      </c>
      <c r="E92" s="0" t="n">
        <v>34493</v>
      </c>
      <c r="F92" s="0" t="n">
        <v>1</v>
      </c>
      <c r="G92" s="0" t="n">
        <v>0.949</v>
      </c>
      <c r="H92" s="0" t="n">
        <v>0.988</v>
      </c>
      <c r="I92" s="0" t="n">
        <v>0.052</v>
      </c>
      <c r="J92" s="0" t="n">
        <v>2.16</v>
      </c>
      <c r="K92" s="0" t="n">
        <v>-2.88</v>
      </c>
      <c r="L92" s="0" t="n">
        <v>0</v>
      </c>
      <c r="M92" s="0" t="n">
        <v>-1.544</v>
      </c>
      <c r="N92" s="0" t="n">
        <v>0</v>
      </c>
    </row>
    <row r="93" customFormat="false" ht="15" hidden="false" customHeight="false" outlineLevel="0" collapsed="false">
      <c r="A93" s="0" t="s">
        <v>12</v>
      </c>
      <c r="B93" s="0" t="s">
        <v>257</v>
      </c>
      <c r="C93" s="0" t="n">
        <v>150</v>
      </c>
      <c r="D93" s="0" t="n">
        <v>2859</v>
      </c>
      <c r="E93" s="0" t="n">
        <v>33523</v>
      </c>
      <c r="F93" s="0" t="n">
        <v>1</v>
      </c>
      <c r="G93" s="0" t="n">
        <v>0.938</v>
      </c>
      <c r="H93" s="0" t="n">
        <v>0.985</v>
      </c>
      <c r="I93" s="0" t="n">
        <v>0.077</v>
      </c>
      <c r="J93" s="0" t="n">
        <v>3.23</v>
      </c>
      <c r="K93" s="0" t="n">
        <v>-1.587</v>
      </c>
      <c r="L93" s="0" t="n">
        <v>0</v>
      </c>
      <c r="M93" s="0" t="n">
        <v>-0.696</v>
      </c>
      <c r="N93" s="0" t="n">
        <v>0.001</v>
      </c>
    </row>
    <row r="94" customFormat="false" ht="15" hidden="false" customHeight="false" outlineLevel="0" collapsed="false">
      <c r="A94" s="0" t="s">
        <v>12</v>
      </c>
      <c r="B94" s="0" t="s">
        <v>257</v>
      </c>
      <c r="C94" s="0" t="n">
        <v>200</v>
      </c>
      <c r="D94" s="0" t="n">
        <v>3812</v>
      </c>
      <c r="E94" s="0" t="n">
        <v>32491</v>
      </c>
      <c r="F94" s="0" t="n">
        <v>1</v>
      </c>
      <c r="G94" s="0" t="n">
        <v>0.924</v>
      </c>
      <c r="H94" s="0" t="n">
        <v>0.982</v>
      </c>
      <c r="I94" s="0" t="n">
        <v>0.103</v>
      </c>
      <c r="J94" s="0" t="n">
        <v>4.31</v>
      </c>
      <c r="K94" s="0" t="n">
        <v>-0.94</v>
      </c>
      <c r="L94" s="0" t="n">
        <v>0</v>
      </c>
      <c r="M94" s="0" t="n">
        <v>-0.272</v>
      </c>
      <c r="N94" s="0" t="n">
        <v>0.019</v>
      </c>
    </row>
    <row r="95" customFormat="false" ht="15" hidden="false" customHeight="false" outlineLevel="0" collapsed="false">
      <c r="A95" s="0" t="s">
        <v>12</v>
      </c>
      <c r="B95" s="0" t="s">
        <v>257</v>
      </c>
      <c r="C95" s="0" t="n">
        <v>300</v>
      </c>
      <c r="D95" s="0" t="n">
        <v>5718</v>
      </c>
      <c r="E95" s="0" t="n">
        <v>30453</v>
      </c>
      <c r="F95" s="0" t="n">
        <v>1</v>
      </c>
      <c r="G95" s="0" t="n">
        <v>0.885</v>
      </c>
      <c r="H95" s="0" t="n">
        <v>0.973</v>
      </c>
      <c r="I95" s="0" t="n">
        <v>0.155</v>
      </c>
      <c r="J95" s="0" t="n">
        <v>6.47</v>
      </c>
      <c r="K95" s="0" t="n">
        <v>-0.293</v>
      </c>
      <c r="L95" s="0" t="n">
        <v>0.016</v>
      </c>
      <c r="M95" s="0" t="n">
        <v>0.152</v>
      </c>
      <c r="N95" s="0" t="n">
        <v>0.183</v>
      </c>
    </row>
    <row r="96" customFormat="false" ht="15" hidden="false" customHeight="false" outlineLevel="0" collapsed="false">
      <c r="A96" s="0" t="s">
        <v>12</v>
      </c>
      <c r="B96" s="0" t="s">
        <v>257</v>
      </c>
      <c r="C96" s="0" t="n">
        <v>400</v>
      </c>
      <c r="D96" s="0" t="n">
        <v>7624</v>
      </c>
      <c r="E96" s="0" t="n">
        <v>28558</v>
      </c>
      <c r="F96" s="0" t="n">
        <v>1</v>
      </c>
      <c r="G96" s="0" t="n">
        <v>0.832</v>
      </c>
      <c r="H96" s="0" t="n">
        <v>0.959</v>
      </c>
      <c r="I96" s="0" t="n">
        <v>0.206</v>
      </c>
      <c r="J96" s="0" t="n">
        <v>8.62</v>
      </c>
      <c r="K96" s="0" t="n">
        <v>0.03</v>
      </c>
      <c r="L96" s="0" t="n">
        <v>0.101</v>
      </c>
      <c r="M96" s="0" t="n">
        <v>0.364</v>
      </c>
      <c r="N96" s="0" t="n">
        <v>0.443</v>
      </c>
    </row>
    <row r="97" customFormat="false" ht="15" hidden="false" customHeight="false" outlineLevel="0" collapsed="false">
      <c r="A97" s="0" t="s">
        <v>12</v>
      </c>
      <c r="B97" s="0" t="s">
        <v>257</v>
      </c>
      <c r="C97" s="0" t="n">
        <v>500</v>
      </c>
      <c r="D97" s="0" t="n">
        <v>9530</v>
      </c>
      <c r="E97" s="0" t="n">
        <v>26621</v>
      </c>
      <c r="F97" s="0" t="n">
        <v>1</v>
      </c>
      <c r="G97" s="0" t="n">
        <v>0.759</v>
      </c>
      <c r="H97" s="0" t="n">
        <v>0.939</v>
      </c>
      <c r="I97" s="0" t="n">
        <v>0.258</v>
      </c>
      <c r="J97" s="0" t="n">
        <v>10.78</v>
      </c>
      <c r="K97" s="0" t="n">
        <v>0.224</v>
      </c>
      <c r="L97" s="0" t="n">
        <v>0.252</v>
      </c>
      <c r="M97" s="0" t="n">
        <v>0.491</v>
      </c>
      <c r="N97" s="0" t="n">
        <v>0.654</v>
      </c>
    </row>
    <row r="98" customFormat="false" ht="15" hidden="false" customHeight="false" outlineLevel="0" collapsed="false">
      <c r="A98" s="0" t="s">
        <v>12</v>
      </c>
      <c r="B98" s="0" t="s">
        <v>257</v>
      </c>
      <c r="C98" s="0" t="n">
        <v>750</v>
      </c>
      <c r="D98" s="0" t="n">
        <v>14295</v>
      </c>
      <c r="E98" s="0" t="n">
        <v>21740</v>
      </c>
      <c r="F98" s="0" t="n">
        <v>0.995</v>
      </c>
      <c r="G98" s="0" t="n">
        <v>0.533</v>
      </c>
      <c r="H98" s="0" t="n">
        <v>0.839</v>
      </c>
      <c r="I98" s="0" t="n">
        <v>0.386</v>
      </c>
      <c r="J98" s="0" t="n">
        <v>16.17</v>
      </c>
      <c r="K98" s="0" t="n">
        <v>0.483</v>
      </c>
      <c r="L98" s="0" t="n">
        <v>0.644</v>
      </c>
      <c r="M98" s="0" t="n">
        <v>0.661</v>
      </c>
      <c r="N98" s="0" t="n">
        <v>0.908</v>
      </c>
    </row>
    <row r="99" customFormat="false" ht="15" hidden="false" customHeight="false" outlineLevel="0" collapsed="false">
      <c r="A99" s="0" t="s">
        <v>12</v>
      </c>
      <c r="B99" s="0" t="s">
        <v>257</v>
      </c>
      <c r="C99" s="0" t="n">
        <v>1000</v>
      </c>
      <c r="D99" s="0" t="n">
        <v>19059</v>
      </c>
      <c r="E99" s="0" t="n">
        <v>16966</v>
      </c>
      <c r="F99" s="0" t="n">
        <v>0.957</v>
      </c>
      <c r="G99" s="0" t="n">
        <v>0.332</v>
      </c>
      <c r="H99" s="0" t="n">
        <v>0.679</v>
      </c>
      <c r="I99" s="0" t="n">
        <v>0.515</v>
      </c>
      <c r="J99" s="0" t="n">
        <v>21.56</v>
      </c>
      <c r="K99" s="0" t="n">
        <v>0.612</v>
      </c>
      <c r="L99" s="0" t="n">
        <v>0.851</v>
      </c>
      <c r="M99" s="0" t="n">
        <v>0.746</v>
      </c>
      <c r="N99" s="0" t="n">
        <v>0.976</v>
      </c>
    </row>
    <row r="100" customFormat="false" ht="15" hidden="false" customHeight="false" outlineLevel="0" collapsed="false">
      <c r="A100" s="0" t="s">
        <v>12</v>
      </c>
      <c r="B100" s="0" t="s">
        <v>257</v>
      </c>
      <c r="C100" s="0" t="n">
        <v>1500</v>
      </c>
      <c r="D100" s="0" t="n">
        <v>28589</v>
      </c>
      <c r="E100" s="0" t="n">
        <v>7777</v>
      </c>
      <c r="F100" s="0" t="n">
        <v>0.74</v>
      </c>
      <c r="G100" s="0" t="n">
        <v>0.1</v>
      </c>
      <c r="H100" s="0" t="n">
        <v>0.342</v>
      </c>
      <c r="I100" s="0" t="n">
        <v>0.773</v>
      </c>
      <c r="J100" s="0" t="n">
        <v>32.34</v>
      </c>
      <c r="K100" s="0" t="n">
        <v>0.741</v>
      </c>
      <c r="L100" s="0" t="n">
        <v>0.975</v>
      </c>
      <c r="M100" s="0" t="n">
        <v>0.83</v>
      </c>
      <c r="N100" s="0" t="n">
        <v>0.999</v>
      </c>
    </row>
    <row r="101" customFormat="false" ht="15" hidden="false" customHeight="false" outlineLevel="0" collapsed="false">
      <c r="A101" s="0" t="s">
        <v>12</v>
      </c>
      <c r="B101" s="0" t="s">
        <v>258</v>
      </c>
      <c r="C101" s="0" t="n">
        <v>6</v>
      </c>
      <c r="D101" s="0" t="n">
        <v>5371</v>
      </c>
      <c r="E101" s="0" t="n">
        <v>31088</v>
      </c>
      <c r="F101" s="0" t="n">
        <v>1</v>
      </c>
      <c r="G101" s="0" t="n">
        <v>0.879</v>
      </c>
      <c r="H101" s="0" t="n">
        <v>0.975</v>
      </c>
      <c r="I101" s="0" t="n">
        <v>0.146</v>
      </c>
      <c r="J101" s="0" t="n">
        <v>6</v>
      </c>
      <c r="K101" s="0" t="n">
        <v>-0.389</v>
      </c>
      <c r="L101" s="0" t="n">
        <v>0</v>
      </c>
      <c r="M101" s="0" t="n">
        <v>0.096</v>
      </c>
      <c r="N101" s="0" t="n">
        <v>0.001</v>
      </c>
    </row>
    <row r="102" customFormat="false" ht="15" hidden="false" customHeight="false" outlineLevel="0" collapsed="false">
      <c r="A102" s="0" t="s">
        <v>12</v>
      </c>
      <c r="B102" s="0" t="s">
        <v>258</v>
      </c>
      <c r="C102" s="0" t="n">
        <v>8</v>
      </c>
      <c r="D102" s="0" t="n">
        <v>7161</v>
      </c>
      <c r="E102" s="0" t="n">
        <v>29291</v>
      </c>
      <c r="F102" s="0" t="n">
        <v>0.998</v>
      </c>
      <c r="G102" s="0" t="n">
        <v>0.815</v>
      </c>
      <c r="H102" s="0" t="n">
        <v>0.959</v>
      </c>
      <c r="I102" s="0" t="n">
        <v>0.195</v>
      </c>
      <c r="J102" s="0" t="n">
        <v>8</v>
      </c>
      <c r="K102" s="0" t="n">
        <v>-0.041</v>
      </c>
      <c r="L102" s="0" t="n">
        <v>0</v>
      </c>
      <c r="M102" s="0" t="n">
        <v>0.322</v>
      </c>
      <c r="N102" s="0" t="n">
        <v>0.219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15" min="3" style="0" width="18"/>
  </cols>
  <sheetData>
    <row r="1" customFormat="false" ht="15" hidden="false" customHeight="false" outlineLevel="0" collapsed="false">
      <c r="A1" s="4" t="s">
        <v>259</v>
      </c>
    </row>
    <row r="2" customFormat="false" ht="15" hidden="false" customHeight="false" outlineLevel="0" collapsed="false">
      <c r="A2" s="1" t="s">
        <v>260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  <c r="I2" s="1" t="s">
        <v>268</v>
      </c>
      <c r="J2" s="1" t="s">
        <v>269</v>
      </c>
      <c r="K2" s="1" t="s">
        <v>270</v>
      </c>
      <c r="L2" s="1" t="s">
        <v>271</v>
      </c>
      <c r="M2" s="1" t="s">
        <v>272</v>
      </c>
    </row>
    <row r="3" customFormat="false" ht="15" hidden="false" customHeight="false" outlineLevel="0" collapsed="false">
      <c r="A3" s="0" t="s">
        <v>273</v>
      </c>
      <c r="B3" s="0" t="n">
        <v>150</v>
      </c>
      <c r="C3" s="0" t="s">
        <v>274</v>
      </c>
      <c r="D3" s="0" t="n">
        <v>2103</v>
      </c>
      <c r="E3" s="0" t="n">
        <v>1704</v>
      </c>
      <c r="F3" s="0" t="n">
        <v>6714</v>
      </c>
      <c r="G3" s="0" t="n">
        <v>4277</v>
      </c>
      <c r="H3" s="0" t="n">
        <v>0.42</v>
      </c>
      <c r="I3" s="0" t="n">
        <v>0.621</v>
      </c>
      <c r="J3" s="0" t="n">
        <v>0.01</v>
      </c>
      <c r="K3" s="0" t="n">
        <v>0.05</v>
      </c>
      <c r="L3" s="0" t="s">
        <v>275</v>
      </c>
      <c r="M3" s="0" t="n">
        <v>3357</v>
      </c>
    </row>
    <row r="4" customFormat="false" ht="15" hidden="false" customHeight="false" outlineLevel="0" collapsed="false">
      <c r="A4" s="0" t="s">
        <v>276</v>
      </c>
      <c r="B4" s="0" t="n">
        <v>1500</v>
      </c>
      <c r="C4" s="0" t="s">
        <v>277</v>
      </c>
      <c r="D4" s="0" t="n">
        <v>24068</v>
      </c>
      <c r="E4" s="0" t="n">
        <v>19653</v>
      </c>
      <c r="F4" s="0" t="n">
        <v>81195</v>
      </c>
      <c r="G4" s="0" t="n">
        <v>49753</v>
      </c>
      <c r="H4" s="0" t="n">
        <v>0.486</v>
      </c>
      <c r="I4" s="0" t="n">
        <v>0.665</v>
      </c>
      <c r="J4" s="0" t="n">
        <v>0.15</v>
      </c>
      <c r="K4" s="0" t="n">
        <v>0.51</v>
      </c>
      <c r="L4" s="0" t="s">
        <v>275</v>
      </c>
      <c r="M4" s="0" t="n">
        <v>40597</v>
      </c>
    </row>
    <row r="5" customFormat="false" ht="15" hidden="false" customHeight="false" outlineLevel="0" collapsed="false">
      <c r="A5" s="0" t="s">
        <v>278</v>
      </c>
      <c r="B5" s="0" t="n">
        <v>25000</v>
      </c>
      <c r="C5" s="0" t="s">
        <v>279</v>
      </c>
      <c r="D5" s="0" t="n">
        <v>395869</v>
      </c>
      <c r="E5" s="0" t="n">
        <v>319839</v>
      </c>
      <c r="F5" s="0" t="n">
        <v>1283549</v>
      </c>
      <c r="G5" s="0" t="n">
        <v>778550</v>
      </c>
      <c r="H5" s="0" t="n">
        <v>0.468</v>
      </c>
      <c r="I5" s="0" t="n">
        <v>0.653</v>
      </c>
      <c r="J5" s="0" t="n">
        <v>2.36</v>
      </c>
      <c r="K5" s="0" t="n">
        <v>7.92</v>
      </c>
      <c r="L5" s="0" t="s">
        <v>280</v>
      </c>
      <c r="M5" s="0" t="n">
        <v>641775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15" min="3" style="0" width="18"/>
  </cols>
  <sheetData>
    <row r="1" customFormat="false" ht="15" hidden="false" customHeight="false" outlineLevel="0" collapsed="false">
      <c r="A1" s="4" t="s">
        <v>281</v>
      </c>
    </row>
    <row r="2" customFormat="false" ht="15" hidden="false" customHeight="false" outlineLevel="0" collapsed="false">
      <c r="A2" s="1" t="s">
        <v>198</v>
      </c>
      <c r="B2" s="1" t="s">
        <v>261</v>
      </c>
      <c r="C2" s="1" t="s">
        <v>105</v>
      </c>
      <c r="D2" s="1" t="s">
        <v>282</v>
      </c>
      <c r="E2" s="1" t="s">
        <v>283</v>
      </c>
      <c r="F2" s="1" t="s">
        <v>284</v>
      </c>
      <c r="G2" s="1" t="s">
        <v>285</v>
      </c>
    </row>
    <row r="3" customFormat="false" ht="15" hidden="false" customHeight="false" outlineLevel="0" collapsed="false">
      <c r="A3" s="0" t="s">
        <v>9</v>
      </c>
      <c r="B3" s="0" t="n">
        <v>150</v>
      </c>
      <c r="C3" s="0" t="n">
        <v>0.1</v>
      </c>
      <c r="D3" s="0" t="n">
        <v>0.45</v>
      </c>
      <c r="E3" s="0" t="n">
        <v>37.93</v>
      </c>
      <c r="F3" s="0" t="n">
        <v>7.1</v>
      </c>
      <c r="G3" s="0" t="n">
        <v>28.5</v>
      </c>
    </row>
    <row r="4" customFormat="false" ht="15" hidden="false" customHeight="false" outlineLevel="0" collapsed="false">
      <c r="A4" s="0" t="s">
        <v>9</v>
      </c>
      <c r="B4" s="0" t="n">
        <v>150</v>
      </c>
      <c r="C4" s="0" t="n">
        <v>0.2</v>
      </c>
      <c r="D4" s="0" t="n">
        <v>0.45</v>
      </c>
      <c r="E4" s="0" t="n">
        <v>28.45</v>
      </c>
      <c r="F4" s="0" t="n">
        <v>7.1</v>
      </c>
      <c r="G4" s="0" t="n">
        <v>16.1</v>
      </c>
    </row>
    <row r="5" customFormat="false" ht="15" hidden="false" customHeight="false" outlineLevel="0" collapsed="false">
      <c r="A5" s="0" t="s">
        <v>9</v>
      </c>
      <c r="B5" s="0" t="n">
        <v>500</v>
      </c>
      <c r="C5" s="0" t="n">
        <v>0.1</v>
      </c>
      <c r="D5" s="0" t="n">
        <v>0.45</v>
      </c>
      <c r="E5" s="0" t="n">
        <v>20.78</v>
      </c>
      <c r="F5" s="0" t="n">
        <v>7.1</v>
      </c>
      <c r="G5" s="0" t="n">
        <v>8.6</v>
      </c>
    </row>
    <row r="6" customFormat="false" ht="15" hidden="false" customHeight="false" outlineLevel="0" collapsed="false">
      <c r="A6" s="0" t="s">
        <v>9</v>
      </c>
      <c r="B6" s="0" t="n">
        <v>500</v>
      </c>
      <c r="C6" s="0" t="n">
        <v>0.2</v>
      </c>
      <c r="D6" s="0" t="n">
        <v>0.45</v>
      </c>
      <c r="E6" s="0" t="n">
        <v>15.58</v>
      </c>
      <c r="F6" s="0" t="n">
        <v>7.1</v>
      </c>
      <c r="G6" s="0" t="n">
        <v>4.8</v>
      </c>
    </row>
    <row r="7" customFormat="false" ht="15" hidden="false" customHeight="false" outlineLevel="0" collapsed="false">
      <c r="A7" s="0" t="s">
        <v>9</v>
      </c>
      <c r="B7" s="0" t="n">
        <v>1500</v>
      </c>
      <c r="C7" s="0" t="n">
        <v>0.1</v>
      </c>
      <c r="D7" s="0" t="n">
        <v>0.45</v>
      </c>
      <c r="E7" s="0" t="n">
        <v>12</v>
      </c>
      <c r="F7" s="0" t="n">
        <v>7.1</v>
      </c>
      <c r="G7" s="0" t="n">
        <v>2.9</v>
      </c>
    </row>
    <row r="8" customFormat="false" ht="15" hidden="false" customHeight="false" outlineLevel="0" collapsed="false">
      <c r="A8" s="0" t="s">
        <v>9</v>
      </c>
      <c r="B8" s="0" t="n">
        <v>1500</v>
      </c>
      <c r="C8" s="0" t="n">
        <v>0.2</v>
      </c>
      <c r="D8" s="0" t="n">
        <v>0.45</v>
      </c>
      <c r="E8" s="0" t="n">
        <v>9</v>
      </c>
      <c r="F8" s="0" t="n">
        <v>7.1</v>
      </c>
      <c r="G8" s="0" t="n">
        <v>1.6</v>
      </c>
    </row>
    <row r="9" customFormat="false" ht="15" hidden="false" customHeight="false" outlineLevel="0" collapsed="false">
      <c r="A9" s="0" t="s">
        <v>9</v>
      </c>
      <c r="B9" s="0" t="n">
        <v>5000</v>
      </c>
      <c r="C9" s="0" t="n">
        <v>0.1</v>
      </c>
      <c r="D9" s="0" t="n">
        <v>0.45</v>
      </c>
      <c r="E9" s="0" t="n">
        <v>6.57</v>
      </c>
      <c r="F9" s="0" t="n">
        <v>7.1</v>
      </c>
      <c r="G9" s="0" t="n">
        <v>0.9</v>
      </c>
    </row>
    <row r="10" customFormat="false" ht="15" hidden="false" customHeight="false" outlineLevel="0" collapsed="false">
      <c r="A10" s="0" t="s">
        <v>9</v>
      </c>
      <c r="B10" s="0" t="n">
        <v>5000</v>
      </c>
      <c r="C10" s="0" t="n">
        <v>0.2</v>
      </c>
      <c r="D10" s="0" t="n">
        <v>0.45</v>
      </c>
      <c r="E10" s="0" t="n">
        <v>4.93</v>
      </c>
      <c r="F10" s="0" t="n">
        <v>7.1</v>
      </c>
      <c r="G10" s="0" t="n">
        <v>0.5</v>
      </c>
    </row>
    <row r="11" customFormat="false" ht="15" hidden="false" customHeight="false" outlineLevel="0" collapsed="false">
      <c r="A11" s="0" t="s">
        <v>9</v>
      </c>
      <c r="B11" s="0" t="n">
        <v>25000</v>
      </c>
      <c r="C11" s="0" t="n">
        <v>0.1</v>
      </c>
      <c r="D11" s="0" t="n">
        <v>0.45</v>
      </c>
      <c r="E11" s="0" t="n">
        <v>2.94</v>
      </c>
      <c r="F11" s="0" t="n">
        <v>7.1</v>
      </c>
      <c r="G11" s="0" t="n">
        <v>0.2</v>
      </c>
    </row>
    <row r="12" customFormat="false" ht="15" hidden="false" customHeight="false" outlineLevel="0" collapsed="false">
      <c r="A12" s="0" t="s">
        <v>9</v>
      </c>
      <c r="B12" s="0" t="n">
        <v>25000</v>
      </c>
      <c r="C12" s="0" t="n">
        <v>0.2</v>
      </c>
      <c r="D12" s="0" t="n">
        <v>0.45</v>
      </c>
      <c r="E12" s="0" t="n">
        <v>2.2</v>
      </c>
      <c r="F12" s="0" t="n">
        <v>7.1</v>
      </c>
      <c r="G12" s="0" t="n">
        <v>0.1</v>
      </c>
    </row>
    <row r="13" customFormat="false" ht="15" hidden="false" customHeight="false" outlineLevel="0" collapsed="false">
      <c r="A13" s="0" t="s">
        <v>10</v>
      </c>
      <c r="B13" s="0" t="n">
        <v>150</v>
      </c>
      <c r="C13" s="0" t="n">
        <v>0.1</v>
      </c>
      <c r="D13" s="0" t="n">
        <v>0.6</v>
      </c>
      <c r="E13" s="0" t="n">
        <v>37.35</v>
      </c>
      <c r="F13" s="0" t="n">
        <v>5.1</v>
      </c>
      <c r="G13" s="0" t="n">
        <v>53.5</v>
      </c>
    </row>
    <row r="14" customFormat="false" ht="15" hidden="false" customHeight="false" outlineLevel="0" collapsed="false">
      <c r="A14" s="0" t="s">
        <v>10</v>
      </c>
      <c r="B14" s="0" t="n">
        <v>150</v>
      </c>
      <c r="C14" s="0" t="n">
        <v>0.2</v>
      </c>
      <c r="D14" s="0" t="n">
        <v>0.6</v>
      </c>
      <c r="E14" s="0" t="n">
        <v>28.02</v>
      </c>
      <c r="F14" s="0" t="n">
        <v>5.1</v>
      </c>
      <c r="G14" s="0" t="n">
        <v>30.1</v>
      </c>
    </row>
    <row r="15" customFormat="false" ht="15" hidden="false" customHeight="false" outlineLevel="0" collapsed="false">
      <c r="A15" s="0" t="s">
        <v>10</v>
      </c>
      <c r="B15" s="0" t="n">
        <v>500</v>
      </c>
      <c r="C15" s="0" t="n">
        <v>0.1</v>
      </c>
      <c r="D15" s="0" t="n">
        <v>0.6</v>
      </c>
      <c r="E15" s="0" t="n">
        <v>20.46</v>
      </c>
      <c r="F15" s="0" t="n">
        <v>5.1</v>
      </c>
      <c r="G15" s="0" t="n">
        <v>16.1</v>
      </c>
    </row>
    <row r="16" customFormat="false" ht="15" hidden="false" customHeight="false" outlineLevel="0" collapsed="false">
      <c r="A16" s="0" t="s">
        <v>10</v>
      </c>
      <c r="B16" s="0" t="n">
        <v>500</v>
      </c>
      <c r="C16" s="0" t="n">
        <v>0.2</v>
      </c>
      <c r="D16" s="0" t="n">
        <v>0.6</v>
      </c>
      <c r="E16" s="0" t="n">
        <v>15.34</v>
      </c>
      <c r="F16" s="0" t="n">
        <v>5.1</v>
      </c>
      <c r="G16" s="0" t="n">
        <v>9</v>
      </c>
    </row>
    <row r="17" customFormat="false" ht="15" hidden="false" customHeight="false" outlineLevel="0" collapsed="false">
      <c r="A17" s="0" t="s">
        <v>10</v>
      </c>
      <c r="B17" s="0" t="n">
        <v>1500</v>
      </c>
      <c r="C17" s="0" t="n">
        <v>0.1</v>
      </c>
      <c r="D17" s="0" t="n">
        <v>0.6</v>
      </c>
      <c r="E17" s="0" t="n">
        <v>11.81</v>
      </c>
      <c r="F17" s="0" t="n">
        <v>5.1</v>
      </c>
      <c r="G17" s="0" t="n">
        <v>5.4</v>
      </c>
    </row>
    <row r="18" customFormat="false" ht="15" hidden="false" customHeight="false" outlineLevel="0" collapsed="false">
      <c r="A18" s="0" t="s">
        <v>10</v>
      </c>
      <c r="B18" s="0" t="n">
        <v>1500</v>
      </c>
      <c r="C18" s="0" t="n">
        <v>0.2</v>
      </c>
      <c r="D18" s="0" t="n">
        <v>0.6</v>
      </c>
      <c r="E18" s="0" t="n">
        <v>8.86</v>
      </c>
      <c r="F18" s="0" t="n">
        <v>5.1</v>
      </c>
      <c r="G18" s="0" t="n">
        <v>3</v>
      </c>
    </row>
    <row r="19" customFormat="false" ht="15" hidden="false" customHeight="false" outlineLevel="0" collapsed="false">
      <c r="A19" s="0" t="s">
        <v>10</v>
      </c>
      <c r="B19" s="0" t="n">
        <v>5000</v>
      </c>
      <c r="C19" s="0" t="n">
        <v>0.1</v>
      </c>
      <c r="D19" s="0" t="n">
        <v>0.6</v>
      </c>
      <c r="E19" s="0" t="n">
        <v>6.47</v>
      </c>
      <c r="F19" s="0" t="n">
        <v>5.1</v>
      </c>
      <c r="G19" s="0" t="n">
        <v>1.6</v>
      </c>
    </row>
    <row r="20" customFormat="false" ht="15" hidden="false" customHeight="false" outlineLevel="0" collapsed="false">
      <c r="A20" s="0" t="s">
        <v>10</v>
      </c>
      <c r="B20" s="0" t="n">
        <v>5000</v>
      </c>
      <c r="C20" s="0" t="n">
        <v>0.2</v>
      </c>
      <c r="D20" s="0" t="n">
        <v>0.6</v>
      </c>
      <c r="E20" s="0" t="n">
        <v>4.85</v>
      </c>
      <c r="F20" s="0" t="n">
        <v>5.1</v>
      </c>
      <c r="G20" s="0" t="n">
        <v>0.9</v>
      </c>
    </row>
    <row r="21" customFormat="false" ht="15" hidden="false" customHeight="false" outlineLevel="0" collapsed="false">
      <c r="A21" s="0" t="s">
        <v>10</v>
      </c>
      <c r="B21" s="0" t="n">
        <v>25000</v>
      </c>
      <c r="C21" s="0" t="n">
        <v>0.1</v>
      </c>
      <c r="D21" s="0" t="n">
        <v>0.6</v>
      </c>
      <c r="E21" s="0" t="n">
        <v>2.89</v>
      </c>
      <c r="F21" s="0" t="n">
        <v>5.1</v>
      </c>
      <c r="G21" s="0" t="n">
        <v>0.3</v>
      </c>
    </row>
    <row r="22" customFormat="false" ht="15" hidden="false" customHeight="false" outlineLevel="0" collapsed="false">
      <c r="A22" s="0" t="s">
        <v>10</v>
      </c>
      <c r="B22" s="0" t="n">
        <v>25000</v>
      </c>
      <c r="C22" s="0" t="n">
        <v>0.2</v>
      </c>
      <c r="D22" s="0" t="n">
        <v>0.6</v>
      </c>
      <c r="E22" s="0" t="n">
        <v>2.17</v>
      </c>
      <c r="F22" s="0" t="n">
        <v>5.1</v>
      </c>
      <c r="G22" s="0" t="n">
        <v>0.2</v>
      </c>
    </row>
    <row r="23" customFormat="false" ht="15" hidden="false" customHeight="false" outlineLevel="0" collapsed="false">
      <c r="A23" s="0" t="s">
        <v>11</v>
      </c>
      <c r="B23" s="0" t="n">
        <v>150</v>
      </c>
      <c r="C23" s="0" t="n">
        <v>0.1</v>
      </c>
      <c r="D23" s="0" t="n">
        <v>0.84</v>
      </c>
      <c r="E23" s="0" t="n">
        <v>27.95</v>
      </c>
      <c r="F23" s="0" t="n">
        <v>1.74</v>
      </c>
      <c r="G23" s="0" t="n">
        <v>258.4</v>
      </c>
    </row>
    <row r="24" customFormat="false" ht="15" hidden="false" customHeight="false" outlineLevel="0" collapsed="false">
      <c r="A24" s="0" t="s">
        <v>11</v>
      </c>
      <c r="B24" s="0" t="n">
        <v>150</v>
      </c>
      <c r="C24" s="0" t="n">
        <v>0.2</v>
      </c>
      <c r="D24" s="0" t="n">
        <v>0.84</v>
      </c>
      <c r="E24" s="0" t="n">
        <v>20.97</v>
      </c>
      <c r="F24" s="0" t="n">
        <v>1.74</v>
      </c>
      <c r="G24" s="0" t="n">
        <v>145.3</v>
      </c>
    </row>
    <row r="25" customFormat="false" ht="15" hidden="false" customHeight="false" outlineLevel="0" collapsed="false">
      <c r="A25" s="0" t="s">
        <v>11</v>
      </c>
      <c r="B25" s="0" t="n">
        <v>500</v>
      </c>
      <c r="C25" s="0" t="n">
        <v>0.1</v>
      </c>
      <c r="D25" s="0" t="n">
        <v>0.84</v>
      </c>
      <c r="E25" s="0" t="n">
        <v>15.31</v>
      </c>
      <c r="F25" s="0" t="n">
        <v>1.74</v>
      </c>
      <c r="G25" s="0" t="n">
        <v>77.5</v>
      </c>
    </row>
    <row r="26" customFormat="false" ht="15" hidden="false" customHeight="false" outlineLevel="0" collapsed="false">
      <c r="A26" s="0" t="s">
        <v>11</v>
      </c>
      <c r="B26" s="0" t="n">
        <v>500</v>
      </c>
      <c r="C26" s="0" t="n">
        <v>0.2</v>
      </c>
      <c r="D26" s="0" t="n">
        <v>0.84</v>
      </c>
      <c r="E26" s="0" t="n">
        <v>11.48</v>
      </c>
      <c r="F26" s="0" t="n">
        <v>1.74</v>
      </c>
      <c r="G26" s="0" t="n">
        <v>43.6</v>
      </c>
    </row>
    <row r="27" customFormat="false" ht="15" hidden="false" customHeight="false" outlineLevel="0" collapsed="false">
      <c r="A27" s="0" t="s">
        <v>11</v>
      </c>
      <c r="B27" s="0" t="n">
        <v>1500</v>
      </c>
      <c r="C27" s="0" t="n">
        <v>0.1</v>
      </c>
      <c r="D27" s="0" t="n">
        <v>0.84</v>
      </c>
      <c r="E27" s="0" t="n">
        <v>8.84</v>
      </c>
      <c r="F27" s="0" t="n">
        <v>1.74</v>
      </c>
      <c r="G27" s="0" t="n">
        <v>25.8</v>
      </c>
    </row>
    <row r="28" customFormat="false" ht="15" hidden="false" customHeight="false" outlineLevel="0" collapsed="false">
      <c r="A28" s="0" t="s">
        <v>11</v>
      </c>
      <c r="B28" s="0" t="n">
        <v>1500</v>
      </c>
      <c r="C28" s="0" t="n">
        <v>0.2</v>
      </c>
      <c r="D28" s="0" t="n">
        <v>0.84</v>
      </c>
      <c r="E28" s="0" t="n">
        <v>6.63</v>
      </c>
      <c r="F28" s="0" t="n">
        <v>1.74</v>
      </c>
      <c r="G28" s="0" t="n">
        <v>14.5</v>
      </c>
    </row>
    <row r="29" customFormat="false" ht="15" hidden="false" customHeight="false" outlineLevel="0" collapsed="false">
      <c r="A29" s="0" t="s">
        <v>11</v>
      </c>
      <c r="B29" s="0" t="n">
        <v>5000</v>
      </c>
      <c r="C29" s="0" t="n">
        <v>0.1</v>
      </c>
      <c r="D29" s="0" t="n">
        <v>0.84</v>
      </c>
      <c r="E29" s="0" t="n">
        <v>4.84</v>
      </c>
      <c r="F29" s="0" t="n">
        <v>1.74</v>
      </c>
      <c r="G29" s="0" t="n">
        <v>7.8</v>
      </c>
    </row>
    <row r="30" customFormat="false" ht="15" hidden="false" customHeight="false" outlineLevel="0" collapsed="false">
      <c r="A30" s="0" t="s">
        <v>11</v>
      </c>
      <c r="B30" s="0" t="n">
        <v>5000</v>
      </c>
      <c r="C30" s="0" t="n">
        <v>0.2</v>
      </c>
      <c r="D30" s="0" t="n">
        <v>0.84</v>
      </c>
      <c r="E30" s="0" t="n">
        <v>3.63</v>
      </c>
      <c r="F30" s="0" t="n">
        <v>1.74</v>
      </c>
      <c r="G30" s="0" t="n">
        <v>4.4</v>
      </c>
    </row>
    <row r="31" customFormat="false" ht="15" hidden="false" customHeight="false" outlineLevel="0" collapsed="false">
      <c r="A31" s="0" t="s">
        <v>11</v>
      </c>
      <c r="B31" s="0" t="n">
        <v>25000</v>
      </c>
      <c r="C31" s="0" t="n">
        <v>0.1</v>
      </c>
      <c r="D31" s="0" t="n">
        <v>0.84</v>
      </c>
      <c r="E31" s="0" t="n">
        <v>2.17</v>
      </c>
      <c r="F31" s="0" t="n">
        <v>1.74</v>
      </c>
      <c r="G31" s="0" t="n">
        <v>1.6</v>
      </c>
    </row>
    <row r="32" customFormat="false" ht="15" hidden="false" customHeight="false" outlineLevel="0" collapsed="false">
      <c r="A32" s="0" t="s">
        <v>11</v>
      </c>
      <c r="B32" s="0" t="n">
        <v>25000</v>
      </c>
      <c r="C32" s="0" t="n">
        <v>0.2</v>
      </c>
      <c r="D32" s="0" t="n">
        <v>0.84</v>
      </c>
      <c r="E32" s="0" t="n">
        <v>1.62</v>
      </c>
      <c r="F32" s="0" t="n">
        <v>1.74</v>
      </c>
      <c r="G32" s="0" t="n">
        <v>0.9</v>
      </c>
    </row>
    <row r="33" customFormat="false" ht="15" hidden="false" customHeight="false" outlineLevel="0" collapsed="false">
      <c r="A33" s="0" t="s">
        <v>12</v>
      </c>
      <c r="B33" s="0" t="n">
        <v>150</v>
      </c>
      <c r="C33" s="0" t="n">
        <v>0.1</v>
      </c>
      <c r="D33" s="0" t="n">
        <v>0.8</v>
      </c>
      <c r="E33" s="0" t="n">
        <v>30.5</v>
      </c>
      <c r="F33" s="0" t="n">
        <v>2.12</v>
      </c>
      <c r="G33" s="0" t="n">
        <v>207.4</v>
      </c>
    </row>
    <row r="34" customFormat="false" ht="15" hidden="false" customHeight="false" outlineLevel="0" collapsed="false">
      <c r="A34" s="0" t="s">
        <v>12</v>
      </c>
      <c r="B34" s="0" t="n">
        <v>150</v>
      </c>
      <c r="C34" s="0" t="n">
        <v>0.2</v>
      </c>
      <c r="D34" s="0" t="n">
        <v>0.8</v>
      </c>
      <c r="E34" s="0" t="n">
        <v>22.87</v>
      </c>
      <c r="F34" s="0" t="n">
        <v>2.12</v>
      </c>
      <c r="G34" s="0" t="n">
        <v>116.7</v>
      </c>
    </row>
    <row r="35" customFormat="false" ht="15" hidden="false" customHeight="false" outlineLevel="0" collapsed="false">
      <c r="A35" s="0" t="s">
        <v>12</v>
      </c>
      <c r="B35" s="0" t="n">
        <v>500</v>
      </c>
      <c r="C35" s="0" t="n">
        <v>0.1</v>
      </c>
      <c r="D35" s="0" t="n">
        <v>0.8</v>
      </c>
      <c r="E35" s="0" t="n">
        <v>16.71</v>
      </c>
      <c r="F35" s="0" t="n">
        <v>2.12</v>
      </c>
      <c r="G35" s="0" t="n">
        <v>62.2</v>
      </c>
    </row>
    <row r="36" customFormat="false" ht="15" hidden="false" customHeight="false" outlineLevel="0" collapsed="false">
      <c r="A36" s="0" t="s">
        <v>12</v>
      </c>
      <c r="B36" s="0" t="n">
        <v>500</v>
      </c>
      <c r="C36" s="0" t="n">
        <v>0.2</v>
      </c>
      <c r="D36" s="0" t="n">
        <v>0.8</v>
      </c>
      <c r="E36" s="0" t="n">
        <v>12.53</v>
      </c>
      <c r="F36" s="0" t="n">
        <v>2.12</v>
      </c>
      <c r="G36" s="0" t="n">
        <v>35</v>
      </c>
    </row>
    <row r="37" customFormat="false" ht="15" hidden="false" customHeight="false" outlineLevel="0" collapsed="false">
      <c r="A37" s="0" t="s">
        <v>12</v>
      </c>
      <c r="B37" s="0" t="n">
        <v>1500</v>
      </c>
      <c r="C37" s="0" t="n">
        <v>0.1</v>
      </c>
      <c r="D37" s="0" t="n">
        <v>0.8</v>
      </c>
      <c r="E37" s="0" t="n">
        <v>9.64</v>
      </c>
      <c r="F37" s="0" t="n">
        <v>2.12</v>
      </c>
      <c r="G37" s="0" t="n">
        <v>20.7</v>
      </c>
    </row>
    <row r="38" customFormat="false" ht="15" hidden="false" customHeight="false" outlineLevel="0" collapsed="false">
      <c r="A38" s="0" t="s">
        <v>12</v>
      </c>
      <c r="B38" s="0" t="n">
        <v>1500</v>
      </c>
      <c r="C38" s="0" t="n">
        <v>0.2</v>
      </c>
      <c r="D38" s="0" t="n">
        <v>0.8</v>
      </c>
      <c r="E38" s="0" t="n">
        <v>7.23</v>
      </c>
      <c r="F38" s="0" t="n">
        <v>2.12</v>
      </c>
      <c r="G38" s="0" t="n">
        <v>11.7</v>
      </c>
    </row>
    <row r="39" customFormat="false" ht="15" hidden="false" customHeight="false" outlineLevel="0" collapsed="false">
      <c r="A39" s="0" t="s">
        <v>12</v>
      </c>
      <c r="B39" s="0" t="n">
        <v>5000</v>
      </c>
      <c r="C39" s="0" t="n">
        <v>0.1</v>
      </c>
      <c r="D39" s="0" t="n">
        <v>0.8</v>
      </c>
      <c r="E39" s="0" t="n">
        <v>5.28</v>
      </c>
      <c r="F39" s="0" t="n">
        <v>2.12</v>
      </c>
      <c r="G39" s="0" t="n">
        <v>6.2</v>
      </c>
    </row>
    <row r="40" customFormat="false" ht="15" hidden="false" customHeight="false" outlineLevel="0" collapsed="false">
      <c r="A40" s="0" t="s">
        <v>12</v>
      </c>
      <c r="B40" s="0" t="n">
        <v>5000</v>
      </c>
      <c r="C40" s="0" t="n">
        <v>0.2</v>
      </c>
      <c r="D40" s="0" t="n">
        <v>0.8</v>
      </c>
      <c r="E40" s="0" t="n">
        <v>3.96</v>
      </c>
      <c r="F40" s="0" t="n">
        <v>2.12</v>
      </c>
      <c r="G40" s="0" t="n">
        <v>3.5</v>
      </c>
    </row>
    <row r="41" customFormat="false" ht="15" hidden="false" customHeight="false" outlineLevel="0" collapsed="false">
      <c r="A41" s="0" t="s">
        <v>12</v>
      </c>
      <c r="B41" s="0" t="n">
        <v>25000</v>
      </c>
      <c r="C41" s="0" t="n">
        <v>0.1</v>
      </c>
      <c r="D41" s="0" t="n">
        <v>0.8</v>
      </c>
      <c r="E41" s="0" t="n">
        <v>2.36</v>
      </c>
      <c r="F41" s="0" t="n">
        <v>2.12</v>
      </c>
      <c r="G41" s="0" t="n">
        <v>1.2</v>
      </c>
    </row>
    <row r="42" customFormat="false" ht="15" hidden="false" customHeight="false" outlineLevel="0" collapsed="false">
      <c r="A42" s="0" t="s">
        <v>12</v>
      </c>
      <c r="B42" s="0" t="n">
        <v>25000</v>
      </c>
      <c r="C42" s="0" t="n">
        <v>0.2</v>
      </c>
      <c r="D42" s="0" t="n">
        <v>0.8</v>
      </c>
      <c r="E42" s="0" t="n">
        <v>1.77</v>
      </c>
      <c r="F42" s="0" t="n">
        <v>2.12</v>
      </c>
      <c r="G42" s="0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15" min="3" style="0" width="18"/>
  </cols>
  <sheetData>
    <row r="1" customFormat="false" ht="15" hidden="false" customHeight="false" outlineLevel="0" collapsed="false">
      <c r="A1" s="4" t="s">
        <v>286</v>
      </c>
    </row>
    <row r="2" customFormat="false" ht="15" hidden="false" customHeight="false" outlineLevel="0" collapsed="false">
      <c r="A2" s="1" t="s">
        <v>198</v>
      </c>
      <c r="B2" s="1" t="s">
        <v>287</v>
      </c>
      <c r="C2" s="1" t="s">
        <v>288</v>
      </c>
      <c r="D2" s="1" t="s">
        <v>289</v>
      </c>
      <c r="E2" s="1" t="s">
        <v>290</v>
      </c>
    </row>
    <row r="3" customFormat="false" ht="15" hidden="false" customHeight="false" outlineLevel="0" collapsed="false">
      <c r="A3" s="0" t="s">
        <v>9</v>
      </c>
      <c r="B3" s="0" t="s">
        <v>15</v>
      </c>
      <c r="C3" s="0" t="n">
        <v>0.493</v>
      </c>
      <c r="D3" s="0" t="n">
        <v>0.552</v>
      </c>
      <c r="E3" s="0" t="n">
        <v>-0.005</v>
      </c>
    </row>
    <row r="4" customFormat="false" ht="15" hidden="false" customHeight="false" outlineLevel="0" collapsed="false">
      <c r="A4" s="0" t="s">
        <v>9</v>
      </c>
      <c r="B4" s="0" t="s">
        <v>19</v>
      </c>
      <c r="C4" s="0" t="n">
        <v>0.381</v>
      </c>
      <c r="D4" s="0" t="n">
        <v>0.432</v>
      </c>
      <c r="E4" s="0" t="n">
        <v>0.004</v>
      </c>
    </row>
    <row r="5" customFormat="false" ht="15" hidden="false" customHeight="false" outlineLevel="0" collapsed="false">
      <c r="A5" s="0" t="s">
        <v>9</v>
      </c>
      <c r="B5" s="0" t="s">
        <v>22</v>
      </c>
      <c r="C5" s="0" t="n">
        <v>-0.379</v>
      </c>
      <c r="D5" s="0" t="n">
        <v>-0.347</v>
      </c>
      <c r="E5" s="0" t="n">
        <v>0.567</v>
      </c>
    </row>
    <row r="6" customFormat="false" ht="15" hidden="false" customHeight="false" outlineLevel="0" collapsed="false">
      <c r="A6" s="0" t="s">
        <v>9</v>
      </c>
      <c r="B6" s="0" t="s">
        <v>25</v>
      </c>
      <c r="C6" s="0" t="n">
        <v>0.009</v>
      </c>
      <c r="D6" s="0" t="n">
        <v>0.014</v>
      </c>
      <c r="E6" s="0" t="n">
        <v>0.081</v>
      </c>
    </row>
    <row r="7" customFormat="false" ht="15" hidden="false" customHeight="false" outlineLevel="0" collapsed="false">
      <c r="A7" s="0" t="s">
        <v>9</v>
      </c>
      <c r="B7" s="0" t="s">
        <v>28</v>
      </c>
      <c r="C7" s="0" t="n">
        <v>-0.153</v>
      </c>
      <c r="D7" s="0" t="n">
        <v>-0.005</v>
      </c>
      <c r="E7" s="0" t="n">
        <v>0.011</v>
      </c>
    </row>
    <row r="8" customFormat="false" ht="15" hidden="false" customHeight="false" outlineLevel="0" collapsed="false">
      <c r="A8" s="0" t="s">
        <v>9</v>
      </c>
      <c r="B8" s="0" t="s">
        <v>31</v>
      </c>
      <c r="C8" s="0" t="n">
        <v>0.412</v>
      </c>
      <c r="D8" s="0" t="n">
        <v>0.46</v>
      </c>
      <c r="E8" s="0" t="n">
        <v>0.019</v>
      </c>
    </row>
    <row r="9" customFormat="false" ht="15" hidden="false" customHeight="false" outlineLevel="0" collapsed="false">
      <c r="A9" s="0" t="s">
        <v>9</v>
      </c>
      <c r="B9" s="0" t="s">
        <v>34</v>
      </c>
      <c r="C9" s="0" t="n">
        <v>0.041</v>
      </c>
      <c r="D9" s="0" t="n">
        <v>-0.004</v>
      </c>
      <c r="E9" s="0" t="n">
        <v>-0.407</v>
      </c>
    </row>
    <row r="10" customFormat="false" ht="15" hidden="false" customHeight="false" outlineLevel="0" collapsed="false">
      <c r="A10" s="0" t="s">
        <v>9</v>
      </c>
      <c r="B10" s="0" t="s">
        <v>37</v>
      </c>
      <c r="C10" s="0" t="n">
        <v>0.006</v>
      </c>
      <c r="D10" s="0" t="n">
        <v>0.009</v>
      </c>
      <c r="E10" s="0" t="n">
        <v>0.001</v>
      </c>
    </row>
    <row r="11" customFormat="false" ht="15" hidden="false" customHeight="false" outlineLevel="0" collapsed="false">
      <c r="A11" s="0" t="s">
        <v>9</v>
      </c>
      <c r="B11" s="0" t="s">
        <v>45</v>
      </c>
      <c r="C11" s="0" t="n">
        <v>0.083</v>
      </c>
      <c r="D11" s="0" t="n">
        <v>0.095</v>
      </c>
      <c r="E11" s="0" t="n">
        <v>-0.186</v>
      </c>
    </row>
    <row r="12" customFormat="false" ht="15" hidden="false" customHeight="false" outlineLevel="0" collapsed="false">
      <c r="A12" s="0" t="s">
        <v>9</v>
      </c>
      <c r="B12" s="0" t="s">
        <v>48</v>
      </c>
      <c r="C12" s="0" t="n">
        <v>0.036</v>
      </c>
      <c r="D12" s="0" t="n">
        <v>0.047</v>
      </c>
      <c r="E12" s="0" t="n">
        <v>-0.027</v>
      </c>
    </row>
    <row r="13" customFormat="false" ht="15" hidden="false" customHeight="false" outlineLevel="0" collapsed="false">
      <c r="A13" s="0" t="s">
        <v>9</v>
      </c>
      <c r="B13" s="0" t="s">
        <v>51</v>
      </c>
      <c r="C13" s="0" t="n">
        <v>0.097</v>
      </c>
      <c r="D13" s="0" t="n">
        <v>0.096</v>
      </c>
      <c r="E13" s="0" t="n">
        <v>-0.151</v>
      </c>
    </row>
    <row r="14" customFormat="false" ht="15" hidden="false" customHeight="false" outlineLevel="0" collapsed="false">
      <c r="A14" s="0" t="s">
        <v>9</v>
      </c>
      <c r="B14" s="0" t="s">
        <v>53</v>
      </c>
      <c r="C14" s="0" t="n">
        <v>0.093</v>
      </c>
      <c r="D14" s="0" t="n">
        <v>0.073</v>
      </c>
      <c r="E14" s="0" t="n">
        <v>-0.121</v>
      </c>
    </row>
    <row r="15" customFormat="false" ht="15" hidden="false" customHeight="false" outlineLevel="0" collapsed="false">
      <c r="A15" s="0" t="s">
        <v>9</v>
      </c>
      <c r="B15" s="0" t="s">
        <v>56</v>
      </c>
      <c r="C15" s="0" t="n">
        <v>0.333</v>
      </c>
      <c r="D15" s="0" t="n">
        <v>0.25</v>
      </c>
      <c r="E15" s="0" t="n">
        <v>0.019</v>
      </c>
    </row>
    <row r="16" customFormat="false" ht="15" hidden="false" customHeight="false" outlineLevel="0" collapsed="false">
      <c r="A16" s="0" t="s">
        <v>9</v>
      </c>
      <c r="B16" s="0" t="s">
        <v>59</v>
      </c>
      <c r="C16" s="0" t="n">
        <v>0.016</v>
      </c>
      <c r="D16" s="0" t="n">
        <v>0.013</v>
      </c>
      <c r="E16" s="0" t="n">
        <v>-0.032</v>
      </c>
    </row>
    <row r="17" customFormat="false" ht="15" hidden="false" customHeight="false" outlineLevel="0" collapsed="false">
      <c r="A17" s="0" t="s">
        <v>9</v>
      </c>
      <c r="B17" s="0" t="s">
        <v>62</v>
      </c>
      <c r="C17" s="0" t="n">
        <v>0.023</v>
      </c>
      <c r="D17" s="0" t="n">
        <v>0.014</v>
      </c>
      <c r="E17" s="0" t="n">
        <v>-0.085</v>
      </c>
    </row>
    <row r="18" customFormat="false" ht="15" hidden="false" customHeight="false" outlineLevel="0" collapsed="false">
      <c r="A18" s="0" t="s">
        <v>9</v>
      </c>
      <c r="B18" s="0" t="s">
        <v>65</v>
      </c>
      <c r="C18" s="0" t="n">
        <v>-0.003</v>
      </c>
      <c r="D18" s="0" t="n">
        <v>-0.003</v>
      </c>
      <c r="E18" s="0" t="n">
        <v>-0.004</v>
      </c>
    </row>
    <row r="19" customFormat="false" ht="15" hidden="false" customHeight="false" outlineLevel="0" collapsed="false">
      <c r="A19" s="0" t="s">
        <v>9</v>
      </c>
      <c r="B19" s="0" t="s">
        <v>68</v>
      </c>
      <c r="C19" s="0" t="n">
        <v>0.003</v>
      </c>
      <c r="D19" s="0" t="n">
        <v>0.001</v>
      </c>
      <c r="E19" s="0" t="n">
        <v>-0.021</v>
      </c>
    </row>
    <row r="20" customFormat="false" ht="15" hidden="false" customHeight="false" outlineLevel="0" collapsed="false">
      <c r="A20" s="0" t="s">
        <v>9</v>
      </c>
      <c r="B20" s="0" t="s">
        <v>71</v>
      </c>
      <c r="C20" s="0" t="n">
        <v>0.001</v>
      </c>
      <c r="D20" s="0" t="n">
        <v>0.002</v>
      </c>
      <c r="E20" s="0" t="n">
        <v>-0.285</v>
      </c>
    </row>
    <row r="21" customFormat="false" ht="15" hidden="false" customHeight="false" outlineLevel="0" collapsed="false">
      <c r="A21" s="0" t="s">
        <v>9</v>
      </c>
      <c r="B21" s="0" t="s">
        <v>74</v>
      </c>
      <c r="C21" s="0" t="n">
        <v>0.001</v>
      </c>
      <c r="D21" s="0" t="n">
        <v>0.001</v>
      </c>
      <c r="E21" s="0" t="n">
        <v>-0.209</v>
      </c>
    </row>
    <row r="22" customFormat="false" ht="15" hidden="false" customHeight="false" outlineLevel="0" collapsed="false">
      <c r="A22" s="0" t="s">
        <v>9</v>
      </c>
      <c r="B22" s="0" t="s">
        <v>77</v>
      </c>
      <c r="C22" s="0" t="n">
        <v>-0.011</v>
      </c>
      <c r="D22" s="0" t="n">
        <v>-0.013</v>
      </c>
      <c r="E22" s="0" t="n">
        <v>-0.107</v>
      </c>
    </row>
    <row r="23" customFormat="false" ht="15" hidden="false" customHeight="false" outlineLevel="0" collapsed="false">
      <c r="A23" s="0" t="s">
        <v>9</v>
      </c>
      <c r="B23" s="0" t="s">
        <v>80</v>
      </c>
      <c r="C23" s="0" t="n">
        <v>0.034</v>
      </c>
      <c r="D23" s="0" t="n">
        <v>-0.004</v>
      </c>
      <c r="E23" s="0" t="n">
        <v>-0.004</v>
      </c>
    </row>
    <row r="24" customFormat="false" ht="15" hidden="false" customHeight="false" outlineLevel="0" collapsed="false">
      <c r="A24" s="0" t="s">
        <v>9</v>
      </c>
      <c r="B24" s="0" t="s">
        <v>83</v>
      </c>
      <c r="C24" s="0" t="n">
        <v>0.035</v>
      </c>
      <c r="D24" s="0" t="n">
        <v>0.019</v>
      </c>
      <c r="E24" s="0" t="n">
        <v>-0.124</v>
      </c>
    </row>
    <row r="25" customFormat="false" ht="15" hidden="false" customHeight="false" outlineLevel="0" collapsed="false">
      <c r="A25" s="0" t="s">
        <v>9</v>
      </c>
      <c r="B25" s="0" t="s">
        <v>92</v>
      </c>
      <c r="C25" s="0" t="n">
        <v>0.006</v>
      </c>
      <c r="D25" s="0" t="n">
        <v>0.005</v>
      </c>
      <c r="E25" s="0" t="n">
        <v>-0.035</v>
      </c>
    </row>
    <row r="26" customFormat="false" ht="15" hidden="false" customHeight="false" outlineLevel="0" collapsed="false">
      <c r="A26" s="0" t="s">
        <v>9</v>
      </c>
      <c r="B26" s="0" t="s">
        <v>291</v>
      </c>
      <c r="C26" s="0" t="n">
        <v>0.002</v>
      </c>
      <c r="D26" s="0" t="n">
        <v>0</v>
      </c>
      <c r="E26" s="0" t="n">
        <v>-0.35</v>
      </c>
    </row>
    <row r="27" customFormat="false" ht="15" hidden="false" customHeight="false" outlineLevel="0" collapsed="false">
      <c r="A27" s="0" t="s">
        <v>9</v>
      </c>
      <c r="B27" s="0" t="s">
        <v>86</v>
      </c>
      <c r="C27" s="0" t="n">
        <v>-0.003</v>
      </c>
      <c r="D27" s="0" t="n">
        <v>0.001</v>
      </c>
      <c r="E27" s="0" t="n">
        <v>-0.001</v>
      </c>
    </row>
    <row r="28" customFormat="false" ht="15" hidden="false" customHeight="false" outlineLevel="0" collapsed="false">
      <c r="A28" s="0" t="s">
        <v>9</v>
      </c>
      <c r="B28" s="0" t="s">
        <v>89</v>
      </c>
      <c r="C28" s="0" t="n">
        <v>0.005</v>
      </c>
      <c r="D28" s="0" t="n">
        <v>0.007</v>
      </c>
      <c r="E28" s="0" t="n">
        <v>-0.007</v>
      </c>
    </row>
    <row r="29" customFormat="false" ht="15" hidden="false" customHeight="false" outlineLevel="0" collapsed="false">
      <c r="A29" s="0" t="s">
        <v>9</v>
      </c>
      <c r="B29" s="0" t="s">
        <v>95</v>
      </c>
      <c r="C29" s="0" t="n">
        <v>0.2</v>
      </c>
      <c r="D29" s="0" t="n">
        <v>0.152</v>
      </c>
      <c r="E29" s="0" t="n">
        <v>-0.288</v>
      </c>
    </row>
    <row r="30" customFormat="false" ht="15" hidden="false" customHeight="false" outlineLevel="0" collapsed="false">
      <c r="A30" s="0" t="s">
        <v>9</v>
      </c>
      <c r="B30" s="0" t="s">
        <v>97</v>
      </c>
      <c r="C30" s="0" t="n">
        <v>-0.105</v>
      </c>
      <c r="D30" s="0" t="n">
        <v>0.001</v>
      </c>
      <c r="E30" s="0" t="n">
        <v>-0.003</v>
      </c>
    </row>
    <row r="31" customFormat="false" ht="15" hidden="false" customHeight="false" outlineLevel="0" collapsed="false">
      <c r="A31" s="0" t="s">
        <v>10</v>
      </c>
      <c r="B31" s="0" t="s">
        <v>15</v>
      </c>
      <c r="C31" s="0" t="n">
        <v>0.281</v>
      </c>
      <c r="D31" s="0" t="n">
        <v>0.598</v>
      </c>
      <c r="E31" s="0" t="n">
        <v>0.004</v>
      </c>
    </row>
    <row r="32" customFormat="false" ht="15" hidden="false" customHeight="false" outlineLevel="0" collapsed="false">
      <c r="A32" s="0" t="s">
        <v>10</v>
      </c>
      <c r="B32" s="0" t="s">
        <v>19</v>
      </c>
      <c r="C32" s="0" t="n">
        <v>0.175</v>
      </c>
      <c r="D32" s="0" t="n">
        <v>0.378</v>
      </c>
      <c r="E32" s="0" t="n">
        <v>-0.011</v>
      </c>
    </row>
    <row r="33" customFormat="false" ht="15" hidden="false" customHeight="false" outlineLevel="0" collapsed="false">
      <c r="A33" s="0" t="s">
        <v>10</v>
      </c>
      <c r="B33" s="0" t="s">
        <v>22</v>
      </c>
      <c r="C33" s="0" t="n">
        <v>-0.22</v>
      </c>
      <c r="D33" s="0" t="n">
        <v>-0.333</v>
      </c>
      <c r="E33" s="0" t="n">
        <v>0.499</v>
      </c>
    </row>
    <row r="34" customFormat="false" ht="15" hidden="false" customHeight="false" outlineLevel="0" collapsed="false">
      <c r="A34" s="0" t="s">
        <v>10</v>
      </c>
      <c r="B34" s="0" t="s">
        <v>25</v>
      </c>
      <c r="C34" s="0" t="n">
        <v>0.005</v>
      </c>
      <c r="D34" s="0" t="n">
        <v>0.008</v>
      </c>
      <c r="E34" s="0" t="n">
        <v>0.102</v>
      </c>
    </row>
    <row r="35" customFormat="false" ht="15" hidden="false" customHeight="false" outlineLevel="0" collapsed="false">
      <c r="A35" s="0" t="s">
        <v>10</v>
      </c>
      <c r="B35" s="0" t="s">
        <v>28</v>
      </c>
      <c r="C35" s="0" t="n">
        <v>-0.284</v>
      </c>
      <c r="D35" s="0" t="n">
        <v>0.011</v>
      </c>
      <c r="E35" s="0" t="n">
        <v>-0.013</v>
      </c>
    </row>
    <row r="36" customFormat="false" ht="15" hidden="false" customHeight="false" outlineLevel="0" collapsed="false">
      <c r="A36" s="0" t="s">
        <v>10</v>
      </c>
      <c r="B36" s="0" t="s">
        <v>31</v>
      </c>
      <c r="C36" s="0" t="n">
        <v>0.213</v>
      </c>
      <c r="D36" s="0" t="n">
        <v>0.46</v>
      </c>
      <c r="E36" s="0" t="n">
        <v>0.011</v>
      </c>
    </row>
    <row r="37" customFormat="false" ht="15" hidden="false" customHeight="false" outlineLevel="0" collapsed="false">
      <c r="A37" s="0" t="s">
        <v>10</v>
      </c>
      <c r="B37" s="0" t="s">
        <v>34</v>
      </c>
      <c r="C37" s="0" t="n">
        <v>0.039</v>
      </c>
      <c r="D37" s="0" t="n">
        <v>0.011</v>
      </c>
      <c r="E37" s="0" t="n">
        <v>-0.507</v>
      </c>
    </row>
    <row r="38" customFormat="false" ht="15" hidden="false" customHeight="false" outlineLevel="0" collapsed="false">
      <c r="A38" s="0" t="s">
        <v>10</v>
      </c>
      <c r="B38" s="0" t="s">
        <v>37</v>
      </c>
      <c r="C38" s="0" t="n">
        <v>-0.005</v>
      </c>
      <c r="D38" s="0" t="n">
        <v>0</v>
      </c>
      <c r="E38" s="0" t="n">
        <v>-0.002</v>
      </c>
    </row>
    <row r="39" customFormat="false" ht="15" hidden="false" customHeight="false" outlineLevel="0" collapsed="false">
      <c r="A39" s="0" t="s">
        <v>10</v>
      </c>
      <c r="B39" s="0" t="s">
        <v>45</v>
      </c>
      <c r="C39" s="0" t="n">
        <v>-0.012</v>
      </c>
      <c r="D39" s="0" t="n">
        <v>0.115</v>
      </c>
      <c r="E39" s="0" t="n">
        <v>-0.207</v>
      </c>
    </row>
    <row r="40" customFormat="false" ht="15" hidden="false" customHeight="false" outlineLevel="0" collapsed="false">
      <c r="A40" s="0" t="s">
        <v>10</v>
      </c>
      <c r="B40" s="0" t="s">
        <v>48</v>
      </c>
      <c r="C40" s="0" t="n">
        <v>-0.01</v>
      </c>
      <c r="D40" s="0" t="n">
        <v>0.046</v>
      </c>
      <c r="E40" s="0" t="n">
        <v>-0.038</v>
      </c>
    </row>
    <row r="41" customFormat="false" ht="15" hidden="false" customHeight="false" outlineLevel="0" collapsed="false">
      <c r="A41" s="0" t="s">
        <v>10</v>
      </c>
      <c r="B41" s="0" t="s">
        <v>51</v>
      </c>
      <c r="C41" s="0" t="n">
        <v>0.054</v>
      </c>
      <c r="D41" s="0" t="n">
        <v>0.089</v>
      </c>
      <c r="E41" s="0" t="n">
        <v>-0.158</v>
      </c>
    </row>
    <row r="42" customFormat="false" ht="15" hidden="false" customHeight="false" outlineLevel="0" collapsed="false">
      <c r="A42" s="0" t="s">
        <v>10</v>
      </c>
      <c r="B42" s="0" t="s">
        <v>53</v>
      </c>
      <c r="C42" s="0" t="n">
        <v>0.125</v>
      </c>
      <c r="D42" s="0" t="n">
        <v>0.079</v>
      </c>
      <c r="E42" s="0" t="n">
        <v>-0.131</v>
      </c>
    </row>
    <row r="43" customFormat="false" ht="15" hidden="false" customHeight="false" outlineLevel="0" collapsed="false">
      <c r="A43" s="0" t="s">
        <v>10</v>
      </c>
      <c r="B43" s="0" t="s">
        <v>56</v>
      </c>
      <c r="C43" s="0" t="n">
        <v>0.462</v>
      </c>
      <c r="D43" s="0" t="n">
        <v>0.249</v>
      </c>
      <c r="E43" s="0" t="n">
        <v>0.014</v>
      </c>
    </row>
    <row r="44" customFormat="false" ht="15" hidden="false" customHeight="false" outlineLevel="0" collapsed="false">
      <c r="A44" s="0" t="s">
        <v>10</v>
      </c>
      <c r="B44" s="0" t="s">
        <v>59</v>
      </c>
      <c r="C44" s="0" t="n">
        <v>0.002</v>
      </c>
      <c r="D44" s="0" t="n">
        <v>-0.008</v>
      </c>
      <c r="E44" s="0" t="n">
        <v>-0.021</v>
      </c>
    </row>
    <row r="45" customFormat="false" ht="15" hidden="false" customHeight="false" outlineLevel="0" collapsed="false">
      <c r="A45" s="0" t="s">
        <v>10</v>
      </c>
      <c r="B45" s="0" t="s">
        <v>62</v>
      </c>
      <c r="C45" s="0" t="n">
        <v>0.005</v>
      </c>
      <c r="D45" s="0" t="n">
        <v>0.007</v>
      </c>
      <c r="E45" s="0" t="n">
        <v>-0.15</v>
      </c>
    </row>
    <row r="46" customFormat="false" ht="15" hidden="false" customHeight="false" outlineLevel="0" collapsed="false">
      <c r="A46" s="0" t="s">
        <v>10</v>
      </c>
      <c r="B46" s="0" t="s">
        <v>65</v>
      </c>
      <c r="C46" s="0" t="n">
        <v>0.013</v>
      </c>
      <c r="D46" s="0" t="n">
        <v>0.004</v>
      </c>
      <c r="E46" s="0" t="n">
        <v>-0.002</v>
      </c>
    </row>
    <row r="47" customFormat="false" ht="15" hidden="false" customHeight="false" outlineLevel="0" collapsed="false">
      <c r="A47" s="0" t="s">
        <v>10</v>
      </c>
      <c r="B47" s="0" t="s">
        <v>68</v>
      </c>
      <c r="C47" s="0" t="n">
        <v>-0.001</v>
      </c>
      <c r="D47" s="0" t="n">
        <v>-0.009</v>
      </c>
      <c r="E47" s="0" t="n">
        <v>-0.018</v>
      </c>
    </row>
    <row r="48" customFormat="false" ht="15" hidden="false" customHeight="false" outlineLevel="0" collapsed="false">
      <c r="A48" s="0" t="s">
        <v>10</v>
      </c>
      <c r="B48" s="0" t="s">
        <v>71</v>
      </c>
      <c r="C48" s="0" t="n">
        <v>-0.004</v>
      </c>
      <c r="D48" s="0" t="n">
        <v>0.007</v>
      </c>
      <c r="E48" s="0" t="n">
        <v>-0.231</v>
      </c>
    </row>
    <row r="49" customFormat="false" ht="15" hidden="false" customHeight="false" outlineLevel="0" collapsed="false">
      <c r="A49" s="0" t="s">
        <v>10</v>
      </c>
      <c r="B49" s="0" t="s">
        <v>74</v>
      </c>
      <c r="C49" s="0" t="n">
        <v>-0.016</v>
      </c>
      <c r="D49" s="0" t="n">
        <v>-0.009</v>
      </c>
      <c r="E49" s="0" t="n">
        <v>-0.164</v>
      </c>
    </row>
    <row r="50" customFormat="false" ht="15" hidden="false" customHeight="false" outlineLevel="0" collapsed="false">
      <c r="A50" s="0" t="s">
        <v>10</v>
      </c>
      <c r="B50" s="0" t="s">
        <v>77</v>
      </c>
      <c r="C50" s="0" t="n">
        <v>-0.001</v>
      </c>
      <c r="D50" s="0" t="n">
        <v>-0.002</v>
      </c>
      <c r="E50" s="0" t="n">
        <v>-0.083</v>
      </c>
    </row>
    <row r="51" customFormat="false" ht="15" hidden="false" customHeight="false" outlineLevel="0" collapsed="false">
      <c r="A51" s="0" t="s">
        <v>10</v>
      </c>
      <c r="B51" s="0" t="s">
        <v>80</v>
      </c>
      <c r="C51" s="0" t="n">
        <v>0.022</v>
      </c>
      <c r="D51" s="0" t="n">
        <v>0.009</v>
      </c>
      <c r="E51" s="0" t="n">
        <v>-0.006</v>
      </c>
    </row>
    <row r="52" customFormat="false" ht="15" hidden="false" customHeight="false" outlineLevel="0" collapsed="false">
      <c r="A52" s="0" t="s">
        <v>10</v>
      </c>
      <c r="B52" s="0" t="s">
        <v>83</v>
      </c>
      <c r="C52" s="0" t="n">
        <v>0.003</v>
      </c>
      <c r="D52" s="0" t="n">
        <v>0.002</v>
      </c>
      <c r="E52" s="0" t="n">
        <v>-0.07</v>
      </c>
    </row>
    <row r="53" customFormat="false" ht="15" hidden="false" customHeight="false" outlineLevel="0" collapsed="false">
      <c r="A53" s="0" t="s">
        <v>10</v>
      </c>
      <c r="B53" s="0" t="s">
        <v>92</v>
      </c>
      <c r="C53" s="0" t="n">
        <v>-0.01</v>
      </c>
      <c r="D53" s="0" t="n">
        <v>-0.016</v>
      </c>
      <c r="E53" s="0" t="n">
        <v>-0.032</v>
      </c>
    </row>
    <row r="54" customFormat="false" ht="15" hidden="false" customHeight="false" outlineLevel="0" collapsed="false">
      <c r="A54" s="0" t="s">
        <v>10</v>
      </c>
      <c r="B54" s="0" t="s">
        <v>291</v>
      </c>
      <c r="C54" s="0" t="n">
        <v>0.008</v>
      </c>
      <c r="D54" s="0" t="n">
        <v>0.006</v>
      </c>
      <c r="E54" s="0" t="n">
        <v>-0.376</v>
      </c>
    </row>
    <row r="55" customFormat="false" ht="15" hidden="false" customHeight="false" outlineLevel="0" collapsed="false">
      <c r="A55" s="0" t="s">
        <v>10</v>
      </c>
      <c r="B55" s="0" t="s">
        <v>86</v>
      </c>
      <c r="C55" s="0" t="n">
        <v>-0.004</v>
      </c>
      <c r="D55" s="0" t="n">
        <v>0.003</v>
      </c>
      <c r="E55" s="0" t="n">
        <v>0.001</v>
      </c>
    </row>
    <row r="56" customFormat="false" ht="15" hidden="false" customHeight="false" outlineLevel="0" collapsed="false">
      <c r="A56" s="0" t="s">
        <v>10</v>
      </c>
      <c r="B56" s="0" t="s">
        <v>89</v>
      </c>
      <c r="C56" s="0" t="n">
        <v>0.009</v>
      </c>
      <c r="D56" s="0" t="n">
        <v>0.005</v>
      </c>
      <c r="E56" s="0" t="n">
        <v>-0.001</v>
      </c>
    </row>
    <row r="57" customFormat="false" ht="15" hidden="false" customHeight="false" outlineLevel="0" collapsed="false">
      <c r="A57" s="0" t="s">
        <v>10</v>
      </c>
      <c r="B57" s="0" t="s">
        <v>95</v>
      </c>
      <c r="C57" s="0" t="n">
        <v>0.271</v>
      </c>
      <c r="D57" s="0" t="n">
        <v>0.154</v>
      </c>
      <c r="E57" s="0" t="n">
        <v>-0.306</v>
      </c>
    </row>
    <row r="58" customFormat="false" ht="15" hidden="false" customHeight="false" outlineLevel="0" collapsed="false">
      <c r="A58" s="0" t="s">
        <v>10</v>
      </c>
      <c r="B58" s="0" t="s">
        <v>97</v>
      </c>
      <c r="C58" s="0" t="n">
        <v>-0.465</v>
      </c>
      <c r="D58" s="0" t="n">
        <v>0.01</v>
      </c>
      <c r="E58" s="0" t="n">
        <v>0.001</v>
      </c>
    </row>
    <row r="59" customFormat="false" ht="15" hidden="false" customHeight="false" outlineLevel="0" collapsed="false">
      <c r="A59" s="0" t="s">
        <v>11</v>
      </c>
      <c r="B59" s="0" t="s">
        <v>15</v>
      </c>
      <c r="C59" s="0" t="n">
        <v>0.222</v>
      </c>
      <c r="D59" s="0" t="n">
        <v>0.466</v>
      </c>
      <c r="E59" s="0" t="n">
        <v>-0.001</v>
      </c>
    </row>
    <row r="60" customFormat="false" ht="15" hidden="false" customHeight="false" outlineLevel="0" collapsed="false">
      <c r="A60" s="0" t="s">
        <v>11</v>
      </c>
      <c r="B60" s="0" t="s">
        <v>19</v>
      </c>
      <c r="C60" s="0" t="n">
        <v>0.14</v>
      </c>
      <c r="D60" s="0" t="n">
        <v>0.286</v>
      </c>
      <c r="E60" s="0" t="n">
        <v>-0.014</v>
      </c>
    </row>
    <row r="61" customFormat="false" ht="15" hidden="false" customHeight="false" outlineLevel="0" collapsed="false">
      <c r="A61" s="0" t="s">
        <v>11</v>
      </c>
      <c r="B61" s="0" t="s">
        <v>22</v>
      </c>
      <c r="C61" s="0" t="n">
        <v>-0.255</v>
      </c>
      <c r="D61" s="0" t="n">
        <v>-0.458</v>
      </c>
      <c r="E61" s="0" t="n">
        <v>0.298</v>
      </c>
    </row>
    <row r="62" customFormat="false" ht="15" hidden="false" customHeight="false" outlineLevel="0" collapsed="false">
      <c r="A62" s="0" t="s">
        <v>11</v>
      </c>
      <c r="B62" s="0" t="s">
        <v>25</v>
      </c>
      <c r="C62" s="0" t="n">
        <v>-0.012</v>
      </c>
      <c r="D62" s="0" t="n">
        <v>0.004</v>
      </c>
      <c r="E62" s="0" t="n">
        <v>0.228</v>
      </c>
    </row>
    <row r="63" customFormat="false" ht="15" hidden="false" customHeight="false" outlineLevel="0" collapsed="false">
      <c r="A63" s="0" t="s">
        <v>11</v>
      </c>
      <c r="B63" s="0" t="s">
        <v>28</v>
      </c>
      <c r="C63" s="0" t="n">
        <v>-0.287</v>
      </c>
      <c r="D63" s="0" t="n">
        <v>-0.003</v>
      </c>
      <c r="E63" s="0" t="n">
        <v>0.004</v>
      </c>
    </row>
    <row r="64" customFormat="false" ht="15" hidden="false" customHeight="false" outlineLevel="0" collapsed="false">
      <c r="A64" s="0" t="s">
        <v>11</v>
      </c>
      <c r="B64" s="0" t="s">
        <v>31</v>
      </c>
      <c r="C64" s="0" t="n">
        <v>0.259</v>
      </c>
      <c r="D64" s="0" t="n">
        <v>0.538</v>
      </c>
      <c r="E64" s="0" t="n">
        <v>-0.019</v>
      </c>
    </row>
    <row r="65" customFormat="false" ht="15" hidden="false" customHeight="false" outlineLevel="0" collapsed="false">
      <c r="A65" s="0" t="s">
        <v>11</v>
      </c>
      <c r="B65" s="0" t="s">
        <v>34</v>
      </c>
      <c r="C65" s="0" t="n">
        <v>0.045</v>
      </c>
      <c r="D65" s="0" t="n">
        <v>-0.008</v>
      </c>
      <c r="E65" s="0" t="n">
        <v>-0.444</v>
      </c>
    </row>
    <row r="66" customFormat="false" ht="15" hidden="false" customHeight="false" outlineLevel="0" collapsed="false">
      <c r="A66" s="0" t="s">
        <v>11</v>
      </c>
      <c r="B66" s="0" t="s">
        <v>37</v>
      </c>
      <c r="C66" s="0" t="n">
        <v>-0.012</v>
      </c>
      <c r="D66" s="0" t="n">
        <v>-0.01</v>
      </c>
      <c r="E66" s="0" t="n">
        <v>0.007</v>
      </c>
    </row>
    <row r="67" customFormat="false" ht="15" hidden="false" customHeight="false" outlineLevel="0" collapsed="false">
      <c r="A67" s="0" t="s">
        <v>11</v>
      </c>
      <c r="B67" s="0" t="s">
        <v>45</v>
      </c>
      <c r="C67" s="0" t="n">
        <v>-0.003</v>
      </c>
      <c r="D67" s="0" t="n">
        <v>0.119</v>
      </c>
      <c r="E67" s="0" t="n">
        <v>-0.223</v>
      </c>
    </row>
    <row r="68" customFormat="false" ht="15" hidden="false" customHeight="false" outlineLevel="0" collapsed="false">
      <c r="A68" s="0" t="s">
        <v>11</v>
      </c>
      <c r="B68" s="0" t="s">
        <v>48</v>
      </c>
      <c r="C68" s="0" t="n">
        <v>-0.01</v>
      </c>
      <c r="D68" s="0" t="n">
        <v>0.048</v>
      </c>
      <c r="E68" s="0" t="n">
        <v>-0.042</v>
      </c>
    </row>
    <row r="69" customFormat="false" ht="15" hidden="false" customHeight="false" outlineLevel="0" collapsed="false">
      <c r="A69" s="0" t="s">
        <v>11</v>
      </c>
      <c r="B69" s="0" t="s">
        <v>51</v>
      </c>
      <c r="C69" s="0" t="n">
        <v>0.058</v>
      </c>
      <c r="D69" s="0" t="n">
        <v>0.096</v>
      </c>
      <c r="E69" s="0" t="n">
        <v>-0.18</v>
      </c>
    </row>
    <row r="70" customFormat="false" ht="15" hidden="false" customHeight="false" outlineLevel="0" collapsed="false">
      <c r="A70" s="0" t="s">
        <v>11</v>
      </c>
      <c r="B70" s="0" t="s">
        <v>53</v>
      </c>
      <c r="C70" s="0" t="n">
        <v>0.127</v>
      </c>
      <c r="D70" s="0" t="n">
        <v>0.078</v>
      </c>
      <c r="E70" s="0" t="n">
        <v>-0.151</v>
      </c>
    </row>
    <row r="71" customFormat="false" ht="15" hidden="false" customHeight="false" outlineLevel="0" collapsed="false">
      <c r="A71" s="0" t="s">
        <v>11</v>
      </c>
      <c r="B71" s="0" t="s">
        <v>56</v>
      </c>
      <c r="C71" s="0" t="n">
        <v>0.488</v>
      </c>
      <c r="D71" s="0" t="n">
        <v>0.293</v>
      </c>
      <c r="E71" s="0" t="n">
        <v>-0.006</v>
      </c>
    </row>
    <row r="72" customFormat="false" ht="15" hidden="false" customHeight="false" outlineLevel="0" collapsed="false">
      <c r="A72" s="0" t="s">
        <v>11</v>
      </c>
      <c r="B72" s="0" t="s">
        <v>59</v>
      </c>
      <c r="C72" s="0" t="n">
        <v>0.004</v>
      </c>
      <c r="D72" s="0" t="n">
        <v>-0.002</v>
      </c>
      <c r="E72" s="0" t="n">
        <v>-0.031</v>
      </c>
    </row>
    <row r="73" customFormat="false" ht="15" hidden="false" customHeight="false" outlineLevel="0" collapsed="false">
      <c r="A73" s="0" t="s">
        <v>11</v>
      </c>
      <c r="B73" s="0" t="s">
        <v>62</v>
      </c>
      <c r="C73" s="0" t="n">
        <v>0.018</v>
      </c>
      <c r="D73" s="0" t="n">
        <v>-0.001</v>
      </c>
      <c r="E73" s="0" t="n">
        <v>-0.233</v>
      </c>
    </row>
    <row r="74" customFormat="false" ht="15" hidden="false" customHeight="false" outlineLevel="0" collapsed="false">
      <c r="A74" s="0" t="s">
        <v>11</v>
      </c>
      <c r="B74" s="0" t="s">
        <v>65</v>
      </c>
      <c r="C74" s="0" t="n">
        <v>0.009</v>
      </c>
      <c r="D74" s="0" t="n">
        <v>0.002</v>
      </c>
      <c r="E74" s="0" t="n">
        <v>-0.021</v>
      </c>
    </row>
    <row r="75" customFormat="false" ht="15" hidden="false" customHeight="false" outlineLevel="0" collapsed="false">
      <c r="A75" s="0" t="s">
        <v>11</v>
      </c>
      <c r="B75" s="0" t="s">
        <v>68</v>
      </c>
      <c r="C75" s="0" t="n">
        <v>0</v>
      </c>
      <c r="D75" s="0" t="n">
        <v>0.001</v>
      </c>
      <c r="E75" s="0" t="n">
        <v>-0.022</v>
      </c>
    </row>
    <row r="76" customFormat="false" ht="15" hidden="false" customHeight="false" outlineLevel="0" collapsed="false">
      <c r="A76" s="0" t="s">
        <v>11</v>
      </c>
      <c r="B76" s="0" t="s">
        <v>71</v>
      </c>
      <c r="C76" s="0" t="n">
        <v>-0.008</v>
      </c>
      <c r="D76" s="0" t="n">
        <v>0.003</v>
      </c>
      <c r="E76" s="0" t="n">
        <v>-0.322</v>
      </c>
    </row>
    <row r="77" customFormat="false" ht="15" hidden="false" customHeight="false" outlineLevel="0" collapsed="false">
      <c r="A77" s="0" t="s">
        <v>11</v>
      </c>
      <c r="B77" s="0" t="s">
        <v>74</v>
      </c>
      <c r="C77" s="0" t="n">
        <v>-0.005</v>
      </c>
      <c r="D77" s="0" t="n">
        <v>0.002</v>
      </c>
      <c r="E77" s="0" t="n">
        <v>-0.239</v>
      </c>
    </row>
    <row r="78" customFormat="false" ht="15" hidden="false" customHeight="false" outlineLevel="0" collapsed="false">
      <c r="A78" s="0" t="s">
        <v>11</v>
      </c>
      <c r="B78" s="0" t="s">
        <v>77</v>
      </c>
      <c r="C78" s="0" t="n">
        <v>-0.003</v>
      </c>
      <c r="D78" s="0" t="n">
        <v>0</v>
      </c>
      <c r="E78" s="0" t="n">
        <v>-0.118</v>
      </c>
    </row>
    <row r="79" customFormat="false" ht="15" hidden="false" customHeight="false" outlineLevel="0" collapsed="false">
      <c r="A79" s="0" t="s">
        <v>11</v>
      </c>
      <c r="B79" s="0" t="s">
        <v>80</v>
      </c>
      <c r="C79" s="0" t="n">
        <v>0.027</v>
      </c>
      <c r="D79" s="0" t="n">
        <v>0.002</v>
      </c>
      <c r="E79" s="0" t="n">
        <v>-0.005</v>
      </c>
    </row>
    <row r="80" customFormat="false" ht="15" hidden="false" customHeight="false" outlineLevel="0" collapsed="false">
      <c r="A80" s="0" t="s">
        <v>11</v>
      </c>
      <c r="B80" s="0" t="s">
        <v>83</v>
      </c>
      <c r="C80" s="0" t="n">
        <v>-0.004</v>
      </c>
      <c r="D80" s="0" t="n">
        <v>-0.008</v>
      </c>
      <c r="E80" s="0" t="n">
        <v>-0.032</v>
      </c>
    </row>
    <row r="81" customFormat="false" ht="15" hidden="false" customHeight="false" outlineLevel="0" collapsed="false">
      <c r="A81" s="0" t="s">
        <v>11</v>
      </c>
      <c r="B81" s="0" t="s">
        <v>92</v>
      </c>
      <c r="C81" s="0" t="n">
        <v>-0.006</v>
      </c>
      <c r="D81" s="0" t="n">
        <v>-0.007</v>
      </c>
      <c r="E81" s="0" t="n">
        <v>-0.028</v>
      </c>
    </row>
    <row r="82" customFormat="false" ht="15" hidden="false" customHeight="false" outlineLevel="0" collapsed="false">
      <c r="A82" s="0" t="s">
        <v>11</v>
      </c>
      <c r="B82" s="0" t="s">
        <v>291</v>
      </c>
      <c r="C82" s="0" t="n">
        <v>0.014</v>
      </c>
      <c r="D82" s="0" t="n">
        <v>0.011</v>
      </c>
      <c r="E82" s="0" t="n">
        <v>-0.356</v>
      </c>
    </row>
    <row r="83" customFormat="false" ht="15" hidden="false" customHeight="false" outlineLevel="0" collapsed="false">
      <c r="A83" s="0" t="s">
        <v>11</v>
      </c>
      <c r="B83" s="0" t="s">
        <v>86</v>
      </c>
      <c r="C83" s="0" t="n">
        <v>0</v>
      </c>
      <c r="D83" s="0" t="n">
        <v>0.003</v>
      </c>
      <c r="E83" s="0" t="n">
        <v>-0.005</v>
      </c>
    </row>
    <row r="84" customFormat="false" ht="15" hidden="false" customHeight="false" outlineLevel="0" collapsed="false">
      <c r="A84" s="0" t="s">
        <v>11</v>
      </c>
      <c r="B84" s="0" t="s">
        <v>89</v>
      </c>
      <c r="C84" s="0" t="n">
        <v>0</v>
      </c>
      <c r="D84" s="0" t="n">
        <v>0.001</v>
      </c>
      <c r="E84" s="0" t="n">
        <v>0.003</v>
      </c>
    </row>
    <row r="85" customFormat="false" ht="15" hidden="false" customHeight="false" outlineLevel="0" collapsed="false">
      <c r="A85" s="0" t="s">
        <v>11</v>
      </c>
      <c r="B85" s="0" t="s">
        <v>95</v>
      </c>
      <c r="C85" s="0" t="n">
        <v>0.287</v>
      </c>
      <c r="D85" s="0" t="n">
        <v>0.178</v>
      </c>
      <c r="E85" s="0" t="n">
        <v>-0.334</v>
      </c>
    </row>
    <row r="86" customFormat="false" ht="15" hidden="false" customHeight="false" outlineLevel="0" collapsed="false">
      <c r="A86" s="0" t="s">
        <v>11</v>
      </c>
      <c r="B86" s="0" t="s">
        <v>97</v>
      </c>
      <c r="C86" s="0" t="n">
        <v>-0.46</v>
      </c>
      <c r="D86" s="0" t="n">
        <v>-0.003</v>
      </c>
      <c r="E86" s="0" t="n">
        <v>-0.004</v>
      </c>
    </row>
    <row r="87" customFormat="false" ht="15" hidden="false" customHeight="false" outlineLevel="0" collapsed="false">
      <c r="A87" s="0" t="s">
        <v>12</v>
      </c>
      <c r="B87" s="0" t="s">
        <v>15</v>
      </c>
      <c r="C87" s="0" t="n">
        <v>0.288</v>
      </c>
      <c r="D87" s="0" t="n">
        <v>0.587</v>
      </c>
      <c r="E87" s="0" t="n">
        <v>-0.013</v>
      </c>
    </row>
    <row r="88" customFormat="false" ht="15" hidden="false" customHeight="false" outlineLevel="0" collapsed="false">
      <c r="A88" s="0" t="s">
        <v>12</v>
      </c>
      <c r="B88" s="0" t="s">
        <v>19</v>
      </c>
      <c r="C88" s="0" t="n">
        <v>0.15</v>
      </c>
      <c r="D88" s="0" t="n">
        <v>0.307</v>
      </c>
      <c r="E88" s="0" t="n">
        <v>0.015</v>
      </c>
    </row>
    <row r="89" customFormat="false" ht="15" hidden="false" customHeight="false" outlineLevel="0" collapsed="false">
      <c r="A89" s="0" t="s">
        <v>12</v>
      </c>
      <c r="B89" s="0" t="s">
        <v>22</v>
      </c>
      <c r="C89" s="0" t="n">
        <v>-0.264</v>
      </c>
      <c r="D89" s="0" t="n">
        <v>-0.401</v>
      </c>
      <c r="E89" s="0" t="n">
        <v>0.343</v>
      </c>
    </row>
    <row r="90" customFormat="false" ht="15" hidden="false" customHeight="false" outlineLevel="0" collapsed="false">
      <c r="A90" s="0" t="s">
        <v>12</v>
      </c>
      <c r="B90" s="0" t="s">
        <v>25</v>
      </c>
      <c r="C90" s="0" t="n">
        <v>-0.026</v>
      </c>
      <c r="D90" s="0" t="n">
        <v>-0.006</v>
      </c>
      <c r="E90" s="0" t="n">
        <v>0.22</v>
      </c>
    </row>
    <row r="91" customFormat="false" ht="15" hidden="false" customHeight="false" outlineLevel="0" collapsed="false">
      <c r="A91" s="0" t="s">
        <v>12</v>
      </c>
      <c r="B91" s="0" t="s">
        <v>28</v>
      </c>
      <c r="C91" s="0" t="n">
        <v>-0.274</v>
      </c>
      <c r="D91" s="0" t="n">
        <v>-0.01</v>
      </c>
      <c r="E91" s="0" t="n">
        <v>0.009</v>
      </c>
    </row>
    <row r="92" customFormat="false" ht="15" hidden="false" customHeight="false" outlineLevel="0" collapsed="false">
      <c r="A92" s="0" t="s">
        <v>12</v>
      </c>
      <c r="B92" s="0" t="s">
        <v>31</v>
      </c>
      <c r="C92" s="0" t="n">
        <v>0.24</v>
      </c>
      <c r="D92" s="0" t="n">
        <v>0.477</v>
      </c>
      <c r="E92" s="0" t="n">
        <v>-0.017</v>
      </c>
    </row>
    <row r="93" customFormat="false" ht="15" hidden="false" customHeight="false" outlineLevel="0" collapsed="false">
      <c r="A93" s="0" t="s">
        <v>12</v>
      </c>
      <c r="B93" s="0" t="s">
        <v>34</v>
      </c>
      <c r="C93" s="0" t="n">
        <v>0.06</v>
      </c>
      <c r="D93" s="0" t="n">
        <v>0.008</v>
      </c>
      <c r="E93" s="0" t="n">
        <v>-0.448</v>
      </c>
    </row>
    <row r="94" customFormat="false" ht="15" hidden="false" customHeight="false" outlineLevel="0" collapsed="false">
      <c r="A94" s="0" t="s">
        <v>12</v>
      </c>
      <c r="B94" s="0" t="s">
        <v>37</v>
      </c>
      <c r="C94" s="0" t="n">
        <v>-0.001</v>
      </c>
      <c r="D94" s="0" t="n">
        <v>0.003</v>
      </c>
      <c r="E94" s="0" t="n">
        <v>-0.003</v>
      </c>
    </row>
    <row r="95" customFormat="false" ht="15" hidden="false" customHeight="false" outlineLevel="0" collapsed="false">
      <c r="A95" s="0" t="s">
        <v>12</v>
      </c>
      <c r="B95" s="0" t="s">
        <v>45</v>
      </c>
      <c r="C95" s="0" t="n">
        <v>0.006</v>
      </c>
      <c r="D95" s="0" t="n">
        <v>0.099</v>
      </c>
      <c r="E95" s="0" t="n">
        <v>-0.225</v>
      </c>
    </row>
    <row r="96" customFormat="false" ht="15" hidden="false" customHeight="false" outlineLevel="0" collapsed="false">
      <c r="A96" s="0" t="s">
        <v>12</v>
      </c>
      <c r="B96" s="0" t="s">
        <v>48</v>
      </c>
      <c r="C96" s="0" t="n">
        <v>-0.008</v>
      </c>
      <c r="D96" s="0" t="n">
        <v>0.043</v>
      </c>
      <c r="E96" s="0" t="n">
        <v>-0.05</v>
      </c>
    </row>
    <row r="97" customFormat="false" ht="15" hidden="false" customHeight="false" outlineLevel="0" collapsed="false">
      <c r="A97" s="0" t="s">
        <v>12</v>
      </c>
      <c r="B97" s="0" t="s">
        <v>51</v>
      </c>
      <c r="C97" s="0" t="n">
        <v>0.067</v>
      </c>
      <c r="D97" s="0" t="n">
        <v>0.084</v>
      </c>
      <c r="E97" s="0" t="n">
        <v>-0.184</v>
      </c>
    </row>
    <row r="98" customFormat="false" ht="15" hidden="false" customHeight="false" outlineLevel="0" collapsed="false">
      <c r="A98" s="0" t="s">
        <v>12</v>
      </c>
      <c r="B98" s="0" t="s">
        <v>53</v>
      </c>
      <c r="C98" s="0" t="n">
        <v>0.129</v>
      </c>
      <c r="D98" s="0" t="n">
        <v>0.079</v>
      </c>
      <c r="E98" s="0" t="n">
        <v>-0.148</v>
      </c>
    </row>
    <row r="99" customFormat="false" ht="15" hidden="false" customHeight="false" outlineLevel="0" collapsed="false">
      <c r="A99" s="0" t="s">
        <v>12</v>
      </c>
      <c r="B99" s="0" t="s">
        <v>56</v>
      </c>
      <c r="C99" s="0" t="n">
        <v>0.482</v>
      </c>
      <c r="D99" s="0" t="n">
        <v>0.258</v>
      </c>
      <c r="E99" s="0" t="n">
        <v>-0.01</v>
      </c>
    </row>
    <row r="100" customFormat="false" ht="15" hidden="false" customHeight="false" outlineLevel="0" collapsed="false">
      <c r="A100" s="0" t="s">
        <v>12</v>
      </c>
      <c r="B100" s="0" t="s">
        <v>59</v>
      </c>
      <c r="C100" s="0" t="n">
        <v>0.006</v>
      </c>
      <c r="D100" s="0" t="n">
        <v>0.001</v>
      </c>
      <c r="E100" s="0" t="n">
        <v>-0.036</v>
      </c>
    </row>
    <row r="101" customFormat="false" ht="15" hidden="false" customHeight="false" outlineLevel="0" collapsed="false">
      <c r="A101" s="0" t="s">
        <v>12</v>
      </c>
      <c r="B101" s="0" t="s">
        <v>62</v>
      </c>
      <c r="C101" s="0" t="n">
        <v>0.029</v>
      </c>
      <c r="D101" s="0" t="n">
        <v>0.007</v>
      </c>
      <c r="E101" s="0" t="n">
        <v>-0.238</v>
      </c>
    </row>
    <row r="102" customFormat="false" ht="15" hidden="false" customHeight="false" outlineLevel="0" collapsed="false">
      <c r="A102" s="0" t="s">
        <v>12</v>
      </c>
      <c r="B102" s="0" t="s">
        <v>65</v>
      </c>
      <c r="C102" s="0" t="n">
        <v>0.005</v>
      </c>
      <c r="D102" s="0" t="n">
        <v>0.003</v>
      </c>
      <c r="E102" s="0" t="n">
        <v>-0.008</v>
      </c>
    </row>
    <row r="103" customFormat="false" ht="15" hidden="false" customHeight="false" outlineLevel="0" collapsed="false">
      <c r="A103" s="0" t="s">
        <v>12</v>
      </c>
      <c r="B103" s="0" t="s">
        <v>68</v>
      </c>
      <c r="C103" s="0" t="n">
        <v>-0.007</v>
      </c>
      <c r="D103" s="0" t="n">
        <v>-0.018</v>
      </c>
      <c r="E103" s="0" t="n">
        <v>-0.019</v>
      </c>
    </row>
    <row r="104" customFormat="false" ht="15" hidden="false" customHeight="false" outlineLevel="0" collapsed="false">
      <c r="A104" s="0" t="s">
        <v>12</v>
      </c>
      <c r="B104" s="0" t="s">
        <v>71</v>
      </c>
      <c r="C104" s="0" t="n">
        <v>-0.005</v>
      </c>
      <c r="D104" s="0" t="n">
        <v>-0.001</v>
      </c>
      <c r="E104" s="0" t="n">
        <v>-0.285</v>
      </c>
    </row>
    <row r="105" customFormat="false" ht="15" hidden="false" customHeight="false" outlineLevel="0" collapsed="false">
      <c r="A105" s="0" t="s">
        <v>12</v>
      </c>
      <c r="B105" s="0" t="s">
        <v>74</v>
      </c>
      <c r="C105" s="0" t="n">
        <v>-0.004</v>
      </c>
      <c r="D105" s="0" t="n">
        <v>0.006</v>
      </c>
      <c r="E105" s="0" t="n">
        <v>-0.203</v>
      </c>
    </row>
    <row r="106" customFormat="false" ht="15" hidden="false" customHeight="false" outlineLevel="0" collapsed="false">
      <c r="A106" s="0" t="s">
        <v>12</v>
      </c>
      <c r="B106" s="0" t="s">
        <v>77</v>
      </c>
      <c r="C106" s="0" t="n">
        <v>-0.002</v>
      </c>
      <c r="D106" s="0" t="n">
        <v>-0.008</v>
      </c>
      <c r="E106" s="0" t="n">
        <v>-0.1</v>
      </c>
    </row>
    <row r="107" customFormat="false" ht="15" hidden="false" customHeight="false" outlineLevel="0" collapsed="false">
      <c r="A107" s="0" t="s">
        <v>12</v>
      </c>
      <c r="B107" s="0" t="s">
        <v>80</v>
      </c>
      <c r="C107" s="0" t="n">
        <v>0.044</v>
      </c>
      <c r="D107" s="0" t="n">
        <v>0.008</v>
      </c>
      <c r="E107" s="0" t="n">
        <v>-0.009</v>
      </c>
    </row>
    <row r="108" customFormat="false" ht="15" hidden="false" customHeight="false" outlineLevel="0" collapsed="false">
      <c r="A108" s="0" t="s">
        <v>12</v>
      </c>
      <c r="B108" s="0" t="s">
        <v>83</v>
      </c>
      <c r="C108" s="0" t="n">
        <v>0.002</v>
      </c>
      <c r="D108" s="0" t="n">
        <v>0</v>
      </c>
      <c r="E108" s="0" t="n">
        <v>-0.039</v>
      </c>
    </row>
    <row r="109" customFormat="false" ht="15" hidden="false" customHeight="false" outlineLevel="0" collapsed="false">
      <c r="A109" s="0" t="s">
        <v>12</v>
      </c>
      <c r="B109" s="0" t="s">
        <v>92</v>
      </c>
      <c r="C109" s="0" t="n">
        <v>0</v>
      </c>
      <c r="D109" s="0" t="n">
        <v>-0.001</v>
      </c>
      <c r="E109" s="0" t="n">
        <v>-0.025</v>
      </c>
    </row>
    <row r="110" customFormat="false" ht="15" hidden="false" customHeight="false" outlineLevel="0" collapsed="false">
      <c r="A110" s="0" t="s">
        <v>12</v>
      </c>
      <c r="B110" s="0" t="s">
        <v>291</v>
      </c>
      <c r="C110" s="0" t="n">
        <v>0.002</v>
      </c>
      <c r="D110" s="0" t="n">
        <v>-0.004</v>
      </c>
      <c r="E110" s="0" t="n">
        <v>-0.373</v>
      </c>
    </row>
    <row r="111" customFormat="false" ht="15" hidden="false" customHeight="false" outlineLevel="0" collapsed="false">
      <c r="A111" s="0" t="s">
        <v>12</v>
      </c>
      <c r="B111" s="0" t="s">
        <v>86</v>
      </c>
      <c r="C111" s="0" t="n">
        <v>0.007</v>
      </c>
      <c r="D111" s="0" t="n">
        <v>0.009</v>
      </c>
      <c r="E111" s="0" t="n">
        <v>-0.005</v>
      </c>
    </row>
    <row r="112" customFormat="false" ht="15" hidden="false" customHeight="false" outlineLevel="0" collapsed="false">
      <c r="A112" s="0" t="s">
        <v>12</v>
      </c>
      <c r="B112" s="0" t="s">
        <v>89</v>
      </c>
      <c r="C112" s="0" t="n">
        <v>0.009</v>
      </c>
      <c r="D112" s="0" t="n">
        <v>0.007</v>
      </c>
      <c r="E112" s="0" t="n">
        <v>0.006</v>
      </c>
    </row>
    <row r="113" customFormat="false" ht="15" hidden="false" customHeight="false" outlineLevel="0" collapsed="false">
      <c r="A113" s="0" t="s">
        <v>12</v>
      </c>
      <c r="B113" s="0" t="s">
        <v>95</v>
      </c>
      <c r="C113" s="0" t="n">
        <v>0.269</v>
      </c>
      <c r="D113" s="0" t="n">
        <v>0.139</v>
      </c>
      <c r="E113" s="0" t="n">
        <v>-0.34</v>
      </c>
    </row>
    <row r="114" customFormat="false" ht="15" hidden="false" customHeight="false" outlineLevel="0" collapsed="false">
      <c r="A114" s="0" t="s">
        <v>12</v>
      </c>
      <c r="B114" s="0" t="s">
        <v>97</v>
      </c>
      <c r="C114" s="0" t="n">
        <v>-0.435</v>
      </c>
      <c r="D114" s="0" t="n">
        <v>0.003</v>
      </c>
      <c r="E114" s="0" t="n">
        <v>-0.01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15" min="3" style="0" width="18"/>
  </cols>
  <sheetData>
    <row r="1" customFormat="false" ht="15" hidden="false" customHeight="false" outlineLevel="0" collapsed="false">
      <c r="A1" s="4" t="s">
        <v>292</v>
      </c>
    </row>
    <row r="2" customFormat="false" ht="15" hidden="false" customHeight="false" outlineLevel="0" collapsed="false">
      <c r="A2" s="1" t="s">
        <v>293</v>
      </c>
      <c r="B2" s="1" t="s">
        <v>294</v>
      </c>
      <c r="C2" s="1" t="s">
        <v>295</v>
      </c>
      <c r="D2" s="1" t="s">
        <v>200</v>
      </c>
      <c r="E2" s="1" t="s">
        <v>201</v>
      </c>
      <c r="F2" s="1" t="s">
        <v>202</v>
      </c>
    </row>
    <row r="3" customFormat="false" ht="15" hidden="false" customHeight="false" outlineLevel="0" collapsed="false">
      <c r="A3" s="0" t="s">
        <v>296</v>
      </c>
      <c r="B3" s="0" t="s">
        <v>297</v>
      </c>
      <c r="C3" s="0" t="s">
        <v>298</v>
      </c>
      <c r="D3" s="0" t="n">
        <v>89</v>
      </c>
      <c r="E3" s="0" t="n">
        <v>107</v>
      </c>
      <c r="F3" s="0" t="n">
        <v>127</v>
      </c>
    </row>
    <row r="4" customFormat="false" ht="15" hidden="false" customHeight="false" outlineLevel="0" collapsed="false">
      <c r="A4" s="0" t="s">
        <v>299</v>
      </c>
      <c r="B4" s="0" t="s">
        <v>297</v>
      </c>
      <c r="C4" s="0" t="s">
        <v>298</v>
      </c>
      <c r="D4" s="0" t="n">
        <v>46</v>
      </c>
      <c r="E4" s="0" t="n">
        <v>58</v>
      </c>
      <c r="F4" s="0" t="n">
        <v>73</v>
      </c>
    </row>
    <row r="5" customFormat="false" ht="15" hidden="false" customHeight="false" outlineLevel="0" collapsed="false">
      <c r="A5" s="0" t="s">
        <v>300</v>
      </c>
      <c r="B5" s="0" t="s">
        <v>297</v>
      </c>
      <c r="C5" s="0" t="s">
        <v>298</v>
      </c>
      <c r="D5" s="0" t="n">
        <v>36</v>
      </c>
      <c r="E5" s="0" t="n">
        <v>51</v>
      </c>
      <c r="F5" s="0" t="n">
        <v>72</v>
      </c>
    </row>
    <row r="6" customFormat="false" ht="15" hidden="false" customHeight="false" outlineLevel="0" collapsed="false">
      <c r="A6" s="0" t="s">
        <v>301</v>
      </c>
      <c r="B6" s="0" t="s">
        <v>297</v>
      </c>
      <c r="C6" s="0" t="s">
        <v>298</v>
      </c>
      <c r="D6" s="0" t="n">
        <v>94</v>
      </c>
      <c r="E6" s="0" t="n">
        <v>166</v>
      </c>
      <c r="F6" s="0" t="n">
        <v>283</v>
      </c>
    </row>
    <row r="7" customFormat="false" ht="15" hidden="false" customHeight="false" outlineLevel="0" collapsed="false">
      <c r="A7" s="0" t="s">
        <v>302</v>
      </c>
      <c r="B7" s="0" t="s">
        <v>297</v>
      </c>
      <c r="C7" s="0" t="s">
        <v>298</v>
      </c>
      <c r="D7" s="0" t="n">
        <v>751</v>
      </c>
      <c r="E7" s="0" t="n">
        <v>1980</v>
      </c>
      <c r="F7" s="0" t="n">
        <v>6163</v>
      </c>
    </row>
    <row r="8" customFormat="false" ht="15" hidden="false" customHeight="false" outlineLevel="0" collapsed="false">
      <c r="A8" s="0" t="s">
        <v>303</v>
      </c>
      <c r="B8" s="0" t="s">
        <v>297</v>
      </c>
      <c r="C8" s="0" t="s">
        <v>298</v>
      </c>
      <c r="D8" s="0" t="n">
        <v>72</v>
      </c>
      <c r="E8" s="0" t="n">
        <v>99</v>
      </c>
      <c r="F8" s="0" t="n">
        <v>136</v>
      </c>
    </row>
    <row r="9" customFormat="false" ht="15" hidden="false" customHeight="false" outlineLevel="0" collapsed="false">
      <c r="A9" s="0" t="s">
        <v>304</v>
      </c>
      <c r="B9" s="0" t="s">
        <v>297</v>
      </c>
      <c r="C9" s="0" t="s">
        <v>298</v>
      </c>
      <c r="D9" s="0" t="n">
        <v>80</v>
      </c>
      <c r="E9" s="0" t="n">
        <v>111</v>
      </c>
      <c r="F9" s="0" t="n">
        <v>153</v>
      </c>
    </row>
    <row r="10" customFormat="false" ht="15" hidden="false" customHeight="false" outlineLevel="0" collapsed="false">
      <c r="A10" s="0" t="s">
        <v>305</v>
      </c>
      <c r="B10" s="0" t="s">
        <v>297</v>
      </c>
      <c r="C10" s="0" t="s">
        <v>298</v>
      </c>
      <c r="D10" s="0" t="n">
        <v>154</v>
      </c>
      <c r="E10" s="0" t="n">
        <v>211</v>
      </c>
      <c r="F10" s="0" t="n">
        <v>288</v>
      </c>
    </row>
    <row r="11" customFormat="false" ht="15" hidden="false" customHeight="false" outlineLevel="0" collapsed="false">
      <c r="A11" s="0" t="s">
        <v>306</v>
      </c>
      <c r="B11" s="0" t="s">
        <v>297</v>
      </c>
      <c r="C11" s="0" t="s">
        <v>298</v>
      </c>
      <c r="D11" s="0" t="n">
        <v>1089</v>
      </c>
      <c r="E11" s="0" t="n">
        <v>2316</v>
      </c>
      <c r="F11" s="0" t="n">
        <v>6484</v>
      </c>
    </row>
    <row r="12" customFormat="false" ht="15" hidden="false" customHeight="false" outlineLevel="0" collapsed="false">
      <c r="A12" s="0" t="s">
        <v>307</v>
      </c>
      <c r="B12" s="0" t="s">
        <v>297</v>
      </c>
      <c r="C12" s="0" t="s">
        <v>298</v>
      </c>
      <c r="D12" s="0" t="n">
        <v>5127</v>
      </c>
      <c r="E12" s="0" t="n">
        <v>9618</v>
      </c>
      <c r="F12" s="0" t="n">
        <v>20524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15" min="3" style="0" width="18"/>
  </cols>
  <sheetData>
    <row r="1" customFormat="false" ht="15" hidden="false" customHeight="false" outlineLevel="0" collapsed="false">
      <c r="A1" s="4" t="s">
        <v>308</v>
      </c>
    </row>
    <row r="2" customFormat="false" ht="15" hidden="false" customHeight="false" outlineLevel="0" collapsed="false">
      <c r="A2" s="1" t="s">
        <v>309</v>
      </c>
      <c r="B2" s="1" t="s">
        <v>310</v>
      </c>
      <c r="C2" s="1" t="s">
        <v>311</v>
      </c>
      <c r="D2" s="1" t="s">
        <v>312</v>
      </c>
      <c r="E2" s="1" t="s">
        <v>313</v>
      </c>
      <c r="F2" s="1" t="s">
        <v>314</v>
      </c>
    </row>
    <row r="3" customFormat="false" ht="15" hidden="false" customHeight="false" outlineLevel="0" collapsed="false">
      <c r="A3" s="0" t="s">
        <v>315</v>
      </c>
      <c r="B3" s="0" t="n">
        <v>0.39</v>
      </c>
      <c r="C3" s="0" t="n">
        <v>1.36</v>
      </c>
      <c r="D3" s="0" t="n">
        <v>5.16</v>
      </c>
      <c r="E3" s="0" t="n">
        <v>0.622</v>
      </c>
      <c r="F3" s="0" t="s">
        <v>316</v>
      </c>
    </row>
    <row r="4" customFormat="false" ht="15" hidden="false" customHeight="false" outlineLevel="0" collapsed="false">
      <c r="A4" s="0" t="s">
        <v>317</v>
      </c>
      <c r="B4" s="0" t="n">
        <v>1.52</v>
      </c>
      <c r="C4" s="0" t="n">
        <v>5.59</v>
      </c>
      <c r="D4" s="0" t="n">
        <v>22.49</v>
      </c>
      <c r="E4" s="0" t="n">
        <v>0.956</v>
      </c>
      <c r="F4" s="0" t="s">
        <v>318</v>
      </c>
    </row>
    <row r="5" customFormat="false" ht="15" hidden="false" customHeight="false" outlineLevel="0" collapsed="false">
      <c r="A5" s="0" t="s">
        <v>319</v>
      </c>
      <c r="B5" s="0" t="n">
        <v>0.61</v>
      </c>
      <c r="C5" s="0" t="n">
        <v>4.37</v>
      </c>
      <c r="D5" s="0" t="n">
        <v>30.88</v>
      </c>
      <c r="E5" s="0" t="n">
        <v>0.83</v>
      </c>
      <c r="F5" s="0" t="s">
        <v>320</v>
      </c>
    </row>
    <row r="6" customFormat="false" ht="15" hidden="false" customHeight="false" outlineLevel="0" collapsed="false">
      <c r="A6" s="0" t="s">
        <v>321</v>
      </c>
      <c r="B6" s="0" t="n">
        <v>0.56</v>
      </c>
      <c r="C6" s="0" t="n">
        <v>1.39</v>
      </c>
      <c r="D6" s="0" t="n">
        <v>3.86</v>
      </c>
      <c r="E6" s="0" t="n">
        <v>0.674</v>
      </c>
      <c r="F6" s="0" t="s">
        <v>322</v>
      </c>
    </row>
    <row r="7" customFormat="false" ht="15" hidden="false" customHeight="false" outlineLevel="0" collapsed="false">
      <c r="A7" s="0" t="s">
        <v>323</v>
      </c>
      <c r="B7" s="0" t="n">
        <v>1.96</v>
      </c>
      <c r="C7" s="0" t="n">
        <v>5.12</v>
      </c>
      <c r="D7" s="0" t="n">
        <v>14.81</v>
      </c>
      <c r="E7" s="0" t="n">
        <v>0.989</v>
      </c>
      <c r="F7" s="0" t="s">
        <v>324</v>
      </c>
    </row>
    <row r="8" customFormat="false" ht="15" hidden="false" customHeight="false" outlineLevel="0" collapsed="false">
      <c r="A8" s="0" t="s">
        <v>325</v>
      </c>
      <c r="F8" s="0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15" min="3" style="0" width="18"/>
  </cols>
  <sheetData>
    <row r="1" customFormat="false" ht="15" hidden="false" customHeight="false" outlineLevel="0" collapsed="false">
      <c r="A1" s="4" t="s">
        <v>327</v>
      </c>
    </row>
    <row r="2" customFormat="false" ht="15" hidden="false" customHeight="false" outlineLevel="0" collapsed="false">
      <c r="A2" s="1" t="s">
        <v>328</v>
      </c>
      <c r="B2" s="1" t="s">
        <v>329</v>
      </c>
      <c r="C2" s="1" t="s">
        <v>330</v>
      </c>
      <c r="D2" s="1" t="s">
        <v>331</v>
      </c>
      <c r="E2" s="1" t="s">
        <v>332</v>
      </c>
      <c r="F2" s="1" t="s">
        <v>333</v>
      </c>
      <c r="G2" s="1" t="s">
        <v>334</v>
      </c>
      <c r="H2" s="1" t="s">
        <v>335</v>
      </c>
      <c r="I2" s="1" t="s">
        <v>336</v>
      </c>
      <c r="J2" s="1" t="s">
        <v>337</v>
      </c>
      <c r="K2" s="1" t="s">
        <v>338</v>
      </c>
    </row>
    <row r="3" customFormat="false" ht="15" hidden="false" customHeight="false" outlineLevel="0" collapsed="false">
      <c r="A3" s="0" t="s">
        <v>339</v>
      </c>
      <c r="B3" s="0" t="s">
        <v>340</v>
      </c>
      <c r="C3" s="0" t="n">
        <v>490.5</v>
      </c>
      <c r="D3" s="0" t="n">
        <v>490.5</v>
      </c>
      <c r="E3" s="0" t="n">
        <v>0.02</v>
      </c>
      <c r="F3" s="0" t="n">
        <v>0.05</v>
      </c>
      <c r="G3" s="0" t="n">
        <v>0.1</v>
      </c>
      <c r="H3" s="0" t="n">
        <v>27.1</v>
      </c>
      <c r="I3" s="0" t="s">
        <v>341</v>
      </c>
      <c r="J3" s="0" t="s">
        <v>342</v>
      </c>
      <c r="K3" s="0" t="s">
        <v>343</v>
      </c>
    </row>
    <row r="4" customFormat="false" ht="15" hidden="false" customHeight="false" outlineLevel="0" collapsed="false">
      <c r="A4" s="0" t="s">
        <v>344</v>
      </c>
      <c r="B4" s="0" t="s">
        <v>340</v>
      </c>
      <c r="C4" s="0" t="n">
        <v>53.9</v>
      </c>
      <c r="D4" s="0" t="n">
        <v>57</v>
      </c>
      <c r="E4" s="0" t="n">
        <v>0.5</v>
      </c>
      <c r="F4" s="0" t="n">
        <v>0.7</v>
      </c>
      <c r="G4" s="0" t="n">
        <v>0.9</v>
      </c>
      <c r="H4" s="0" t="n">
        <v>38.8</v>
      </c>
      <c r="I4" s="0" t="s">
        <v>345</v>
      </c>
      <c r="J4" s="0" t="s">
        <v>342</v>
      </c>
      <c r="K4" s="0" t="s">
        <v>346</v>
      </c>
    </row>
    <row r="5" customFormat="false" ht="15" hidden="false" customHeight="false" outlineLevel="0" collapsed="false">
      <c r="A5" s="0" t="s">
        <v>347</v>
      </c>
      <c r="B5" s="0" t="s">
        <v>340</v>
      </c>
      <c r="C5" s="0" t="n">
        <v>29.1</v>
      </c>
      <c r="D5" s="0" t="n">
        <v>29.1</v>
      </c>
      <c r="E5" s="0" t="n">
        <v>0.1</v>
      </c>
      <c r="F5" s="0" t="n">
        <v>0.3</v>
      </c>
      <c r="G5" s="0" t="n">
        <v>0.6</v>
      </c>
      <c r="H5" s="0" t="n">
        <v>9.5</v>
      </c>
      <c r="I5" s="0" t="s">
        <v>348</v>
      </c>
      <c r="J5" s="0" t="s">
        <v>342</v>
      </c>
      <c r="K5" s="0" t="s">
        <v>349</v>
      </c>
    </row>
    <row r="6" customFormat="false" ht="15" hidden="false" customHeight="false" outlineLevel="0" collapsed="false">
      <c r="A6" s="0" t="s">
        <v>350</v>
      </c>
      <c r="B6" s="0" t="s">
        <v>351</v>
      </c>
      <c r="C6" s="0" t="n">
        <v>26.5</v>
      </c>
      <c r="D6" s="0" t="n">
        <v>26.5</v>
      </c>
      <c r="E6" s="0" t="n">
        <v>0.1</v>
      </c>
      <c r="F6" s="0" t="n">
        <v>0.3</v>
      </c>
      <c r="G6" s="0" t="n">
        <v>0.5</v>
      </c>
      <c r="H6" s="0" t="n">
        <v>7.9</v>
      </c>
      <c r="I6" s="0" t="s">
        <v>352</v>
      </c>
      <c r="J6" s="0" t="s">
        <v>342</v>
      </c>
      <c r="K6" s="0" t="s">
        <v>353</v>
      </c>
    </row>
    <row r="7" customFormat="false" ht="15" hidden="false" customHeight="false" outlineLevel="0" collapsed="false">
      <c r="A7" s="0" t="s">
        <v>354</v>
      </c>
      <c r="B7" s="0" t="s">
        <v>340</v>
      </c>
      <c r="C7" s="0" t="n">
        <v>233.6</v>
      </c>
      <c r="D7" s="0" t="n">
        <v>235.9</v>
      </c>
      <c r="E7" s="0" t="n">
        <v>0.03</v>
      </c>
      <c r="F7" s="0" t="n">
        <v>0.08</v>
      </c>
      <c r="G7" s="0" t="n">
        <v>0.15</v>
      </c>
      <c r="H7" s="0" t="n">
        <v>20.1</v>
      </c>
      <c r="I7" s="0" t="s">
        <v>352</v>
      </c>
      <c r="J7" s="0" t="s">
        <v>342</v>
      </c>
      <c r="K7" s="0" t="s">
        <v>355</v>
      </c>
    </row>
    <row r="8" customFormat="false" ht="15" hidden="false" customHeight="false" outlineLevel="0" collapsed="false">
      <c r="A8" s="0" t="s">
        <v>356</v>
      </c>
      <c r="B8" s="0" t="s">
        <v>340</v>
      </c>
      <c r="C8" s="0" t="n">
        <v>156.6</v>
      </c>
      <c r="D8" s="0" t="n">
        <v>231.1</v>
      </c>
      <c r="E8" s="0" t="n">
        <v>0.02</v>
      </c>
      <c r="F8" s="0" t="n">
        <v>0.05</v>
      </c>
      <c r="G8" s="0" t="n">
        <v>0.1</v>
      </c>
      <c r="H8" s="0" t="n">
        <v>10.6</v>
      </c>
      <c r="I8" s="0" t="s">
        <v>357</v>
      </c>
      <c r="J8" s="0" t="s">
        <v>342</v>
      </c>
      <c r="K8" s="0" t="s">
        <v>358</v>
      </c>
    </row>
    <row r="9" customFormat="false" ht="15" hidden="false" customHeight="false" outlineLevel="0" collapsed="false">
      <c r="A9" s="0" t="s">
        <v>359</v>
      </c>
      <c r="B9" s="0" t="s">
        <v>351</v>
      </c>
      <c r="C9" s="0" t="n">
        <v>110.3</v>
      </c>
      <c r="D9" s="0" t="n">
        <v>110.3</v>
      </c>
      <c r="E9" s="0" t="n">
        <v>0.02</v>
      </c>
      <c r="F9" s="0" t="n">
        <v>0.05</v>
      </c>
      <c r="G9" s="0" t="n">
        <v>0.1</v>
      </c>
      <c r="H9" s="0" t="n">
        <v>6.1</v>
      </c>
      <c r="I9" s="0" t="s">
        <v>352</v>
      </c>
      <c r="J9" s="0" t="s">
        <v>342</v>
      </c>
      <c r="K9" s="0" t="s">
        <v>360</v>
      </c>
    </row>
    <row r="10" customFormat="false" ht="15" hidden="false" customHeight="false" outlineLevel="0" collapsed="false">
      <c r="A10" s="0" t="s">
        <v>361</v>
      </c>
      <c r="B10" s="0" t="s">
        <v>340</v>
      </c>
      <c r="C10" s="0" t="n">
        <v>87.8</v>
      </c>
      <c r="D10" s="0" t="n">
        <v>87.8</v>
      </c>
      <c r="E10" s="0" t="n">
        <v>0.01</v>
      </c>
      <c r="F10" s="0" t="n">
        <v>0.03</v>
      </c>
      <c r="G10" s="0" t="n">
        <v>0.08</v>
      </c>
      <c r="H10" s="0" t="n">
        <v>3.4</v>
      </c>
      <c r="I10" s="0" t="s">
        <v>362</v>
      </c>
      <c r="J10" s="0" t="s">
        <v>342</v>
      </c>
      <c r="K10" s="0" t="s">
        <v>363</v>
      </c>
    </row>
    <row r="11" customFormat="false" ht="15" hidden="false" customHeight="false" outlineLevel="0" collapsed="false">
      <c r="A11" s="0" t="s">
        <v>364</v>
      </c>
      <c r="B11" s="0" t="s">
        <v>351</v>
      </c>
      <c r="C11" s="0" t="n">
        <v>194.2</v>
      </c>
      <c r="D11" s="0" t="n">
        <v>194.2</v>
      </c>
      <c r="E11" s="0" t="n">
        <v>0.02</v>
      </c>
      <c r="F11" s="0" t="n">
        <v>0.06</v>
      </c>
      <c r="G11" s="0" t="n">
        <v>0.12</v>
      </c>
      <c r="H11" s="0" t="n">
        <v>12.7</v>
      </c>
      <c r="I11" s="0" t="s">
        <v>352</v>
      </c>
      <c r="J11" s="0" t="s">
        <v>342</v>
      </c>
      <c r="K11" s="0" t="s">
        <v>365</v>
      </c>
    </row>
    <row r="12" customFormat="false" ht="15" hidden="false" customHeight="false" outlineLevel="0" collapsed="false">
      <c r="A12" s="0" t="s">
        <v>366</v>
      </c>
      <c r="B12" s="0" t="s">
        <v>340</v>
      </c>
      <c r="C12" s="0" t="n">
        <v>326.2</v>
      </c>
      <c r="D12" s="0" t="n">
        <v>326.2</v>
      </c>
      <c r="E12" s="0" t="n">
        <v>0</v>
      </c>
      <c r="F12" s="0" t="n">
        <v>0.005</v>
      </c>
      <c r="G12" s="0" t="n">
        <v>0.02</v>
      </c>
      <c r="H12" s="0" t="n">
        <v>2.5</v>
      </c>
      <c r="I12" s="0" t="s">
        <v>367</v>
      </c>
      <c r="J12" s="0" t="s">
        <v>342</v>
      </c>
      <c r="K12" s="0" t="s">
        <v>368</v>
      </c>
    </row>
    <row r="13" customFormat="false" ht="15" hidden="false" customHeight="false" outlineLevel="0" collapsed="false">
      <c r="A13" s="0" t="s">
        <v>369</v>
      </c>
      <c r="B13" s="0" t="s">
        <v>370</v>
      </c>
      <c r="C13" s="0" t="n">
        <v>6</v>
      </c>
      <c r="D13" s="0" t="n">
        <v>6</v>
      </c>
      <c r="E13" s="0" t="n">
        <v>0.8</v>
      </c>
      <c r="F13" s="0" t="n">
        <v>0.9</v>
      </c>
      <c r="G13" s="0" t="n">
        <v>1</v>
      </c>
      <c r="H13" s="0" t="n">
        <v>5.4</v>
      </c>
      <c r="I13" s="0" t="s">
        <v>371</v>
      </c>
      <c r="J13" s="0" t="s">
        <v>342</v>
      </c>
      <c r="K13" s="0" t="s">
        <v>372</v>
      </c>
    </row>
    <row r="14" customFormat="false" ht="15" hidden="false" customHeight="false" outlineLevel="0" collapsed="false">
      <c r="A14" s="0" t="s">
        <v>373</v>
      </c>
      <c r="B14" s="0" t="s">
        <v>340</v>
      </c>
      <c r="C14" s="0" t="n">
        <v>0.905</v>
      </c>
      <c r="D14" s="0" t="n">
        <v>0.905</v>
      </c>
      <c r="E14" s="0" t="n">
        <v>0.9</v>
      </c>
      <c r="F14" s="0" t="n">
        <v>1</v>
      </c>
      <c r="G14" s="0" t="n">
        <v>1</v>
      </c>
      <c r="H14" s="0" t="n">
        <v>0.9</v>
      </c>
      <c r="I14" s="0" t="s">
        <v>352</v>
      </c>
      <c r="J14" s="0" t="s">
        <v>342</v>
      </c>
    </row>
    <row r="15" customFormat="false" ht="15" hidden="false" customHeight="false" outlineLevel="0" collapsed="false">
      <c r="A15" s="0" t="s">
        <v>374</v>
      </c>
      <c r="B15" s="0" t="s">
        <v>340</v>
      </c>
      <c r="C15" s="0" t="n">
        <v>0.932</v>
      </c>
      <c r="D15" s="0" t="n">
        <v>0.932</v>
      </c>
      <c r="E15" s="0" t="n">
        <v>0.5</v>
      </c>
      <c r="F15" s="0" t="n">
        <v>0.8</v>
      </c>
      <c r="G15" s="0" t="n">
        <v>1</v>
      </c>
      <c r="H15" s="0" t="n">
        <v>0.7</v>
      </c>
      <c r="I15" s="0" t="s">
        <v>352</v>
      </c>
      <c r="J15" s="0" t="s">
        <v>342</v>
      </c>
      <c r="K15" s="0" t="s">
        <v>375</v>
      </c>
    </row>
    <row r="16" customFormat="false" ht="15" hidden="false" customHeight="false" outlineLevel="0" collapsed="false">
      <c r="A16" s="0" t="s">
        <v>376</v>
      </c>
      <c r="B16" s="0" t="s">
        <v>351</v>
      </c>
      <c r="C16" s="0" t="n">
        <v>9.1</v>
      </c>
      <c r="D16" s="0" t="n">
        <v>9.1</v>
      </c>
      <c r="E16" s="0" t="n">
        <v>0</v>
      </c>
      <c r="F16" s="0" t="n">
        <v>0.05</v>
      </c>
      <c r="G16" s="0" t="n">
        <v>0.2</v>
      </c>
      <c r="H16" s="0" t="n">
        <v>0.7</v>
      </c>
      <c r="I16" s="0" t="s">
        <v>352</v>
      </c>
      <c r="J16" s="0" t="s">
        <v>342</v>
      </c>
      <c r="K16" s="0" t="s">
        <v>377</v>
      </c>
    </row>
    <row r="17" customFormat="false" ht="15" hidden="false" customHeight="false" outlineLevel="0" collapsed="false">
      <c r="A17" s="0" t="s">
        <v>378</v>
      </c>
      <c r="B17" s="0" t="s">
        <v>379</v>
      </c>
      <c r="H17" s="0" t="n">
        <v>148.4</v>
      </c>
      <c r="I17" s="0" t="s">
        <v>380</v>
      </c>
      <c r="J17" s="0" t="s">
        <v>381</v>
      </c>
      <c r="K17" s="0" t="s">
        <v>382</v>
      </c>
    </row>
    <row r="18" customFormat="false" ht="15" hidden="false" customHeight="false" outlineLevel="0" collapsed="false">
      <c r="A18" s="0" t="s">
        <v>383</v>
      </c>
      <c r="H18" s="0" t="n">
        <v>1.54</v>
      </c>
      <c r="J18" s="0" t="s">
        <v>384</v>
      </c>
      <c r="K18" s="0" t="s">
        <v>385</v>
      </c>
    </row>
    <row r="19" customFormat="false" ht="15" hidden="false" customHeight="false" outlineLevel="0" collapsed="false">
      <c r="A19" s="0" t="s">
        <v>386</v>
      </c>
      <c r="J19" s="0" t="s">
        <v>381</v>
      </c>
      <c r="K19" s="0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15" min="3" style="0" width="18"/>
  </cols>
  <sheetData>
    <row r="1" customFormat="false" ht="15" hidden="false" customHeight="false" outlineLevel="0" collapsed="false">
      <c r="A1" s="4" t="s">
        <v>388</v>
      </c>
    </row>
    <row r="2" customFormat="false" ht="15" hidden="false" customHeight="false" outlineLevel="0" collapsed="false">
      <c r="A2" s="1" t="s">
        <v>389</v>
      </c>
      <c r="B2" s="1" t="s">
        <v>390</v>
      </c>
      <c r="C2" s="1" t="s">
        <v>391</v>
      </c>
      <c r="D2" s="1" t="s">
        <v>392</v>
      </c>
      <c r="E2" s="1" t="s">
        <v>199</v>
      </c>
      <c r="F2" s="1" t="s">
        <v>44</v>
      </c>
    </row>
    <row r="3" customFormat="false" ht="15" hidden="false" customHeight="false" outlineLevel="0" collapsed="false">
      <c r="A3" s="0" t="s">
        <v>393</v>
      </c>
      <c r="B3" s="0" t="s">
        <v>394</v>
      </c>
      <c r="C3" s="0" t="s">
        <v>395</v>
      </c>
      <c r="D3" s="0" t="s">
        <v>396</v>
      </c>
      <c r="E3" s="0" t="s">
        <v>397</v>
      </c>
      <c r="F3" s="0" t="n">
        <v>8619.77</v>
      </c>
    </row>
    <row r="4" customFormat="false" ht="15" hidden="false" customHeight="false" outlineLevel="0" collapsed="false">
      <c r="A4" s="0" t="s">
        <v>393</v>
      </c>
      <c r="B4" s="0" t="s">
        <v>394</v>
      </c>
      <c r="C4" s="0" t="s">
        <v>395</v>
      </c>
      <c r="D4" s="0" t="s">
        <v>398</v>
      </c>
      <c r="E4" s="0" t="s">
        <v>397</v>
      </c>
      <c r="F4" s="0" t="n">
        <v>784.33</v>
      </c>
    </row>
    <row r="5" customFormat="false" ht="15" hidden="false" customHeight="false" outlineLevel="0" collapsed="false">
      <c r="A5" s="0" t="s">
        <v>393</v>
      </c>
      <c r="B5" s="0" t="s">
        <v>394</v>
      </c>
      <c r="C5" s="0" t="s">
        <v>395</v>
      </c>
      <c r="D5" s="0" t="s">
        <v>399</v>
      </c>
      <c r="E5" s="0" t="s">
        <v>397</v>
      </c>
      <c r="F5" s="0" t="n">
        <v>2423.96</v>
      </c>
    </row>
    <row r="6" customFormat="false" ht="15" hidden="false" customHeight="false" outlineLevel="0" collapsed="false">
      <c r="A6" s="0" t="s">
        <v>393</v>
      </c>
      <c r="B6" s="0" t="s">
        <v>394</v>
      </c>
      <c r="C6" s="0" t="s">
        <v>395</v>
      </c>
      <c r="D6" s="0" t="s">
        <v>400</v>
      </c>
      <c r="E6" s="0" t="s">
        <v>397</v>
      </c>
      <c r="F6" s="0" t="n">
        <v>23202.1</v>
      </c>
    </row>
    <row r="7" customFormat="false" ht="15" hidden="false" customHeight="false" outlineLevel="0" collapsed="false">
      <c r="A7" s="0" t="s">
        <v>393</v>
      </c>
      <c r="B7" s="0" t="s">
        <v>394</v>
      </c>
      <c r="C7" s="0" t="s">
        <v>395</v>
      </c>
      <c r="D7" s="0" t="s">
        <v>401</v>
      </c>
      <c r="E7" s="0" t="s">
        <v>397</v>
      </c>
      <c r="F7" s="0" t="n">
        <v>0</v>
      </c>
    </row>
    <row r="8" customFormat="false" ht="15" hidden="false" customHeight="false" outlineLevel="0" collapsed="false">
      <c r="A8" s="0" t="s">
        <v>393</v>
      </c>
      <c r="B8" s="0" t="s">
        <v>394</v>
      </c>
      <c r="C8" s="0" t="s">
        <v>395</v>
      </c>
      <c r="D8" s="0" t="s">
        <v>402</v>
      </c>
      <c r="E8" s="0" t="s">
        <v>397</v>
      </c>
      <c r="F8" s="0" t="n">
        <v>1194.67</v>
      </c>
    </row>
    <row r="9" customFormat="false" ht="15" hidden="false" customHeight="false" outlineLevel="0" collapsed="false">
      <c r="A9" s="0" t="s">
        <v>393</v>
      </c>
      <c r="B9" s="0" t="s">
        <v>394</v>
      </c>
      <c r="C9" s="0" t="s">
        <v>395</v>
      </c>
      <c r="D9" s="0" t="s">
        <v>403</v>
      </c>
      <c r="E9" s="0" t="s">
        <v>397</v>
      </c>
      <c r="F9" s="0" t="n">
        <v>1.16</v>
      </c>
    </row>
    <row r="10" customFormat="false" ht="15" hidden="false" customHeight="false" outlineLevel="0" collapsed="false">
      <c r="A10" s="0" t="s">
        <v>393</v>
      </c>
      <c r="B10" s="0" t="s">
        <v>394</v>
      </c>
      <c r="C10" s="0" t="s">
        <v>395</v>
      </c>
      <c r="D10" s="0" t="s">
        <v>404</v>
      </c>
      <c r="E10" s="0" t="s">
        <v>397</v>
      </c>
      <c r="F10" s="0" t="n">
        <v>3909.21</v>
      </c>
    </row>
    <row r="11" customFormat="false" ht="15" hidden="false" customHeight="false" outlineLevel="0" collapsed="false">
      <c r="A11" s="0" t="s">
        <v>393</v>
      </c>
      <c r="B11" s="0" t="s">
        <v>394</v>
      </c>
      <c r="C11" s="0" t="s">
        <v>395</v>
      </c>
      <c r="D11" s="0" t="s">
        <v>405</v>
      </c>
      <c r="E11" s="0" t="s">
        <v>397</v>
      </c>
      <c r="F11" s="0" t="n">
        <v>40135.21</v>
      </c>
    </row>
    <row r="12" customFormat="false" ht="15" hidden="false" customHeight="false" outlineLevel="0" collapsed="false">
      <c r="A12" s="0" t="s">
        <v>393</v>
      </c>
      <c r="B12" s="0" t="s">
        <v>394</v>
      </c>
      <c r="C12" s="0" t="s">
        <v>406</v>
      </c>
      <c r="D12" s="0" t="s">
        <v>396</v>
      </c>
      <c r="E12" s="0" t="s">
        <v>397</v>
      </c>
      <c r="F12" s="0" t="n">
        <v>20185.88</v>
      </c>
    </row>
    <row r="13" customFormat="false" ht="15" hidden="false" customHeight="false" outlineLevel="0" collapsed="false">
      <c r="A13" s="0" t="s">
        <v>393</v>
      </c>
      <c r="B13" s="0" t="s">
        <v>394</v>
      </c>
      <c r="C13" s="0" t="s">
        <v>406</v>
      </c>
      <c r="D13" s="0" t="s">
        <v>398</v>
      </c>
      <c r="E13" s="0" t="s">
        <v>397</v>
      </c>
      <c r="F13" s="0" t="n">
        <v>820.24</v>
      </c>
    </row>
    <row r="14" customFormat="false" ht="15" hidden="false" customHeight="false" outlineLevel="0" collapsed="false">
      <c r="A14" s="0" t="s">
        <v>393</v>
      </c>
      <c r="B14" s="0" t="s">
        <v>394</v>
      </c>
      <c r="C14" s="0" t="s">
        <v>406</v>
      </c>
      <c r="D14" s="0" t="s">
        <v>399</v>
      </c>
      <c r="E14" s="0" t="s">
        <v>397</v>
      </c>
      <c r="F14" s="0" t="n">
        <v>3455.89</v>
      </c>
    </row>
    <row r="15" customFormat="false" ht="15" hidden="false" customHeight="false" outlineLevel="0" collapsed="false">
      <c r="A15" s="0" t="s">
        <v>393</v>
      </c>
      <c r="B15" s="0" t="s">
        <v>394</v>
      </c>
      <c r="C15" s="0" t="s">
        <v>406</v>
      </c>
      <c r="D15" s="0" t="s">
        <v>400</v>
      </c>
      <c r="E15" s="0" t="s">
        <v>397</v>
      </c>
      <c r="F15" s="0" t="n">
        <v>25849.68</v>
      </c>
    </row>
    <row r="16" customFormat="false" ht="15" hidden="false" customHeight="false" outlineLevel="0" collapsed="false">
      <c r="A16" s="0" t="s">
        <v>393</v>
      </c>
      <c r="B16" s="0" t="s">
        <v>394</v>
      </c>
      <c r="C16" s="0" t="s">
        <v>406</v>
      </c>
      <c r="D16" s="0" t="s">
        <v>401</v>
      </c>
      <c r="E16" s="0" t="s">
        <v>397</v>
      </c>
      <c r="F16" s="0" t="n">
        <v>0</v>
      </c>
    </row>
    <row r="17" customFormat="false" ht="15" hidden="false" customHeight="false" outlineLevel="0" collapsed="false">
      <c r="A17" s="0" t="s">
        <v>393</v>
      </c>
      <c r="B17" s="0" t="s">
        <v>394</v>
      </c>
      <c r="C17" s="0" t="s">
        <v>406</v>
      </c>
      <c r="D17" s="0" t="s">
        <v>402</v>
      </c>
      <c r="E17" s="0" t="s">
        <v>397</v>
      </c>
      <c r="F17" s="0" t="n">
        <v>2035.36</v>
      </c>
    </row>
    <row r="18" customFormat="false" ht="15" hidden="false" customHeight="false" outlineLevel="0" collapsed="false">
      <c r="A18" s="0" t="s">
        <v>393</v>
      </c>
      <c r="B18" s="0" t="s">
        <v>394</v>
      </c>
      <c r="C18" s="0" t="s">
        <v>406</v>
      </c>
      <c r="D18" s="0" t="s">
        <v>403</v>
      </c>
      <c r="E18" s="0" t="s">
        <v>397</v>
      </c>
      <c r="F18" s="0" t="n">
        <v>1.57</v>
      </c>
    </row>
    <row r="19" customFormat="false" ht="15" hidden="false" customHeight="false" outlineLevel="0" collapsed="false">
      <c r="A19" s="0" t="s">
        <v>393</v>
      </c>
      <c r="B19" s="0" t="s">
        <v>394</v>
      </c>
      <c r="C19" s="0" t="s">
        <v>406</v>
      </c>
      <c r="D19" s="0" t="s">
        <v>404</v>
      </c>
      <c r="E19" s="0" t="s">
        <v>397</v>
      </c>
      <c r="F19" s="0" t="n">
        <v>6609.61</v>
      </c>
    </row>
    <row r="20" customFormat="false" ht="15" hidden="false" customHeight="false" outlineLevel="0" collapsed="false">
      <c r="A20" s="0" t="s">
        <v>393</v>
      </c>
      <c r="B20" s="0" t="s">
        <v>394</v>
      </c>
      <c r="C20" s="0" t="s">
        <v>406</v>
      </c>
      <c r="D20" s="0" t="s">
        <v>405</v>
      </c>
      <c r="E20" s="0" t="s">
        <v>397</v>
      </c>
      <c r="F20" s="0" t="n">
        <v>58958.24</v>
      </c>
    </row>
    <row r="21" customFormat="false" ht="15" hidden="false" customHeight="false" outlineLevel="0" collapsed="false">
      <c r="A21" s="0" t="s">
        <v>393</v>
      </c>
      <c r="B21" s="0" t="s">
        <v>394</v>
      </c>
      <c r="C21" s="0" t="s">
        <v>407</v>
      </c>
      <c r="D21" s="0" t="s">
        <v>396</v>
      </c>
      <c r="E21" s="0" t="s">
        <v>397</v>
      </c>
      <c r="F21" s="0" t="n">
        <v>37073.88</v>
      </c>
    </row>
    <row r="22" customFormat="false" ht="15" hidden="false" customHeight="false" outlineLevel="0" collapsed="false">
      <c r="A22" s="0" t="s">
        <v>393</v>
      </c>
      <c r="B22" s="0" t="s">
        <v>394</v>
      </c>
      <c r="C22" s="0" t="s">
        <v>407</v>
      </c>
      <c r="D22" s="0" t="s">
        <v>398</v>
      </c>
      <c r="E22" s="0" t="s">
        <v>397</v>
      </c>
      <c r="F22" s="0" t="n">
        <v>5723.07</v>
      </c>
    </row>
    <row r="23" customFormat="false" ht="15" hidden="false" customHeight="false" outlineLevel="0" collapsed="false">
      <c r="A23" s="0" t="s">
        <v>393</v>
      </c>
      <c r="B23" s="0" t="s">
        <v>394</v>
      </c>
      <c r="C23" s="0" t="s">
        <v>407</v>
      </c>
      <c r="D23" s="0" t="s">
        <v>399</v>
      </c>
      <c r="E23" s="0" t="s">
        <v>397</v>
      </c>
      <c r="F23" s="0" t="n">
        <v>6804.66</v>
      </c>
    </row>
    <row r="24" customFormat="false" ht="15" hidden="false" customHeight="false" outlineLevel="0" collapsed="false">
      <c r="A24" s="0" t="s">
        <v>393</v>
      </c>
      <c r="B24" s="0" t="s">
        <v>394</v>
      </c>
      <c r="C24" s="0" t="s">
        <v>407</v>
      </c>
      <c r="D24" s="0" t="s">
        <v>400</v>
      </c>
      <c r="E24" s="0" t="s">
        <v>397</v>
      </c>
      <c r="F24" s="0" t="n">
        <v>76807.06</v>
      </c>
    </row>
    <row r="25" customFormat="false" ht="15" hidden="false" customHeight="false" outlineLevel="0" collapsed="false">
      <c r="A25" s="0" t="s">
        <v>393</v>
      </c>
      <c r="B25" s="0" t="s">
        <v>394</v>
      </c>
      <c r="C25" s="0" t="s">
        <v>407</v>
      </c>
      <c r="D25" s="0" t="s">
        <v>401</v>
      </c>
      <c r="E25" s="0" t="s">
        <v>397</v>
      </c>
      <c r="F25" s="0" t="n">
        <v>0</v>
      </c>
    </row>
    <row r="26" customFormat="false" ht="15" hidden="false" customHeight="false" outlineLevel="0" collapsed="false">
      <c r="A26" s="0" t="s">
        <v>393</v>
      </c>
      <c r="B26" s="0" t="s">
        <v>394</v>
      </c>
      <c r="C26" s="0" t="s">
        <v>407</v>
      </c>
      <c r="D26" s="0" t="s">
        <v>402</v>
      </c>
      <c r="E26" s="0" t="s">
        <v>397</v>
      </c>
      <c r="F26" s="0" t="n">
        <v>33589.7</v>
      </c>
    </row>
    <row r="27" customFormat="false" ht="15" hidden="false" customHeight="false" outlineLevel="0" collapsed="false">
      <c r="A27" s="0" t="s">
        <v>393</v>
      </c>
      <c r="B27" s="0" t="s">
        <v>394</v>
      </c>
      <c r="C27" s="0" t="s">
        <v>407</v>
      </c>
      <c r="D27" s="0" t="s">
        <v>403</v>
      </c>
      <c r="E27" s="0" t="s">
        <v>397</v>
      </c>
      <c r="F27" s="0" t="n">
        <v>16.81</v>
      </c>
    </row>
    <row r="28" customFormat="false" ht="15" hidden="false" customHeight="false" outlineLevel="0" collapsed="false">
      <c r="A28" s="0" t="s">
        <v>393</v>
      </c>
      <c r="B28" s="0" t="s">
        <v>394</v>
      </c>
      <c r="C28" s="0" t="s">
        <v>407</v>
      </c>
      <c r="D28" s="0" t="s">
        <v>404</v>
      </c>
      <c r="E28" s="0" t="s">
        <v>397</v>
      </c>
      <c r="F28" s="0" t="n">
        <v>20202.72</v>
      </c>
    </row>
    <row r="29" customFormat="false" ht="15" hidden="false" customHeight="false" outlineLevel="0" collapsed="false">
      <c r="A29" s="0" t="s">
        <v>393</v>
      </c>
      <c r="B29" s="0" t="s">
        <v>394</v>
      </c>
      <c r="C29" s="0" t="s">
        <v>407</v>
      </c>
      <c r="D29" s="0" t="s">
        <v>405</v>
      </c>
      <c r="E29" s="0" t="s">
        <v>397</v>
      </c>
      <c r="F29" s="0" t="n">
        <v>180217.89</v>
      </c>
    </row>
    <row r="30" customFormat="false" ht="15" hidden="false" customHeight="false" outlineLevel="0" collapsed="false">
      <c r="A30" s="0" t="s">
        <v>408</v>
      </c>
      <c r="B30" s="0" t="s">
        <v>394</v>
      </c>
      <c r="C30" s="0" t="s">
        <v>409</v>
      </c>
      <c r="D30" s="0" t="s">
        <v>400</v>
      </c>
      <c r="E30" s="0" t="s">
        <v>410</v>
      </c>
      <c r="F30" s="0" t="n">
        <v>3288653</v>
      </c>
    </row>
    <row r="31" customFormat="false" ht="15" hidden="false" customHeight="false" outlineLevel="0" collapsed="false">
      <c r="A31" s="0" t="s">
        <v>408</v>
      </c>
      <c r="B31" s="0" t="s">
        <v>394</v>
      </c>
      <c r="C31" s="0" t="s">
        <v>409</v>
      </c>
      <c r="D31" s="0" t="s">
        <v>400</v>
      </c>
      <c r="E31" s="0" t="s">
        <v>411</v>
      </c>
      <c r="F31" s="0" t="n">
        <v>5020.9</v>
      </c>
    </row>
    <row r="32" customFormat="false" ht="15" hidden="false" customHeight="false" outlineLevel="0" collapsed="false">
      <c r="A32" s="0" t="s">
        <v>408</v>
      </c>
      <c r="B32" s="0" t="s">
        <v>394</v>
      </c>
      <c r="C32" s="0" t="s">
        <v>409</v>
      </c>
      <c r="D32" s="0" t="s">
        <v>400</v>
      </c>
      <c r="E32" s="0" t="s">
        <v>412</v>
      </c>
      <c r="F32" s="0" t="n">
        <v>15267</v>
      </c>
    </row>
    <row r="33" customFormat="false" ht="15" hidden="false" customHeight="false" outlineLevel="0" collapsed="false">
      <c r="A33" s="0" t="s">
        <v>408</v>
      </c>
      <c r="B33" s="0" t="s">
        <v>394</v>
      </c>
      <c r="C33" s="0" t="s">
        <v>409</v>
      </c>
      <c r="D33" s="0" t="s">
        <v>413</v>
      </c>
      <c r="E33" s="0" t="s">
        <v>410</v>
      </c>
      <c r="F33" s="0" t="n">
        <v>2049125</v>
      </c>
    </row>
    <row r="34" customFormat="false" ht="15" hidden="false" customHeight="false" outlineLevel="0" collapsed="false">
      <c r="A34" s="0" t="s">
        <v>408</v>
      </c>
      <c r="B34" s="0" t="s">
        <v>394</v>
      </c>
      <c r="C34" s="0" t="s">
        <v>409</v>
      </c>
      <c r="D34" s="0" t="s">
        <v>413</v>
      </c>
      <c r="E34" s="0" t="s">
        <v>411</v>
      </c>
      <c r="F34" s="0" t="n">
        <v>2727.47</v>
      </c>
    </row>
    <row r="35" customFormat="false" ht="15" hidden="false" customHeight="false" outlineLevel="0" collapsed="false">
      <c r="A35" s="0" t="s">
        <v>408</v>
      </c>
      <c r="B35" s="0" t="s">
        <v>394</v>
      </c>
      <c r="C35" s="0" t="s">
        <v>409</v>
      </c>
      <c r="D35" s="0" t="s">
        <v>413</v>
      </c>
      <c r="E35" s="0" t="s">
        <v>412</v>
      </c>
      <c r="F35" s="0" t="n">
        <v>13310</v>
      </c>
    </row>
    <row r="36" customFormat="false" ht="15" hidden="false" customHeight="false" outlineLevel="0" collapsed="false">
      <c r="A36" s="0" t="s">
        <v>408</v>
      </c>
      <c r="B36" s="0" t="s">
        <v>394</v>
      </c>
      <c r="C36" s="0" t="s">
        <v>409</v>
      </c>
      <c r="D36" s="0" t="s">
        <v>414</v>
      </c>
      <c r="E36" s="0" t="s">
        <v>410</v>
      </c>
      <c r="F36" s="0" t="n">
        <v>435717</v>
      </c>
    </row>
    <row r="37" customFormat="false" ht="15" hidden="false" customHeight="false" outlineLevel="0" collapsed="false">
      <c r="A37" s="0" t="s">
        <v>408</v>
      </c>
      <c r="B37" s="0" t="s">
        <v>394</v>
      </c>
      <c r="C37" s="0" t="s">
        <v>409</v>
      </c>
      <c r="D37" s="0" t="s">
        <v>414</v>
      </c>
      <c r="E37" s="0" t="s">
        <v>411</v>
      </c>
      <c r="F37" s="0" t="n">
        <v>487.07</v>
      </c>
    </row>
    <row r="38" customFormat="false" ht="15" hidden="false" customHeight="false" outlineLevel="0" collapsed="false">
      <c r="A38" s="0" t="s">
        <v>408</v>
      </c>
      <c r="B38" s="0" t="s">
        <v>394</v>
      </c>
      <c r="C38" s="0" t="s">
        <v>409</v>
      </c>
      <c r="D38" s="0" t="s">
        <v>414</v>
      </c>
      <c r="E38" s="0" t="s">
        <v>412</v>
      </c>
      <c r="F38" s="0" t="n">
        <v>11179</v>
      </c>
    </row>
    <row r="39" customFormat="false" ht="15" hidden="false" customHeight="false" outlineLevel="0" collapsed="false">
      <c r="A39" s="0" t="s">
        <v>408</v>
      </c>
      <c r="B39" s="0" t="s">
        <v>394</v>
      </c>
      <c r="C39" s="0" t="s">
        <v>409</v>
      </c>
      <c r="D39" s="0" t="s">
        <v>415</v>
      </c>
      <c r="E39" s="0" t="s">
        <v>410</v>
      </c>
      <c r="F39" s="0" t="n">
        <v>1023502</v>
      </c>
    </row>
    <row r="40" customFormat="false" ht="15" hidden="false" customHeight="false" outlineLevel="0" collapsed="false">
      <c r="A40" s="0" t="s">
        <v>408</v>
      </c>
      <c r="B40" s="0" t="s">
        <v>394</v>
      </c>
      <c r="C40" s="0" t="s">
        <v>409</v>
      </c>
      <c r="D40" s="0" t="s">
        <v>415</v>
      </c>
      <c r="E40" s="0" t="s">
        <v>411</v>
      </c>
      <c r="F40" s="0" t="n">
        <v>1808.12</v>
      </c>
    </row>
    <row r="41" customFormat="false" ht="15" hidden="false" customHeight="false" outlineLevel="0" collapsed="false">
      <c r="A41" s="0" t="s">
        <v>408</v>
      </c>
      <c r="B41" s="0" t="s">
        <v>394</v>
      </c>
      <c r="C41" s="0" t="s">
        <v>409</v>
      </c>
      <c r="D41" s="0" t="s">
        <v>415</v>
      </c>
      <c r="E41" s="0" t="s">
        <v>412</v>
      </c>
      <c r="F41" s="0" t="n">
        <v>17666</v>
      </c>
    </row>
    <row r="42" customFormat="false" ht="15" hidden="false" customHeight="false" outlineLevel="0" collapsed="false">
      <c r="A42" s="0" t="s">
        <v>408</v>
      </c>
      <c r="B42" s="0" t="s">
        <v>394</v>
      </c>
      <c r="C42" s="0" t="s">
        <v>409</v>
      </c>
      <c r="D42" s="0" t="s">
        <v>416</v>
      </c>
      <c r="E42" s="0" t="s">
        <v>410</v>
      </c>
      <c r="F42" s="0" t="n">
        <v>1488543</v>
      </c>
    </row>
    <row r="43" customFormat="false" ht="15" hidden="false" customHeight="false" outlineLevel="0" collapsed="false">
      <c r="A43" s="0" t="s">
        <v>408</v>
      </c>
      <c r="B43" s="0" t="s">
        <v>394</v>
      </c>
      <c r="C43" s="0" t="s">
        <v>409</v>
      </c>
      <c r="D43" s="0" t="s">
        <v>416</v>
      </c>
      <c r="E43" s="0" t="s">
        <v>411</v>
      </c>
      <c r="F43" s="0" t="n">
        <v>2479.55</v>
      </c>
    </row>
    <row r="44" customFormat="false" ht="15" hidden="false" customHeight="false" outlineLevel="0" collapsed="false">
      <c r="A44" s="0" t="s">
        <v>408</v>
      </c>
      <c r="B44" s="0" t="s">
        <v>394</v>
      </c>
      <c r="C44" s="0" t="s">
        <v>409</v>
      </c>
      <c r="D44" s="0" t="s">
        <v>416</v>
      </c>
      <c r="E44" s="0" t="s">
        <v>412</v>
      </c>
      <c r="F44" s="0" t="n">
        <v>16658</v>
      </c>
    </row>
    <row r="45" customFormat="false" ht="15" hidden="false" customHeight="false" outlineLevel="0" collapsed="false">
      <c r="A45" s="0" t="s">
        <v>408</v>
      </c>
      <c r="B45" s="0" t="s">
        <v>394</v>
      </c>
      <c r="C45" s="0" t="s">
        <v>409</v>
      </c>
      <c r="D45" s="0" t="s">
        <v>396</v>
      </c>
      <c r="E45" s="0" t="s">
        <v>410</v>
      </c>
      <c r="F45" s="0" t="n">
        <v>16606720</v>
      </c>
    </row>
    <row r="46" customFormat="false" ht="15" hidden="false" customHeight="false" outlineLevel="0" collapsed="false">
      <c r="A46" s="0" t="s">
        <v>408</v>
      </c>
      <c r="B46" s="0" t="s">
        <v>394</v>
      </c>
      <c r="C46" s="0" t="s">
        <v>409</v>
      </c>
      <c r="D46" s="0" t="s">
        <v>396</v>
      </c>
      <c r="E46" s="0" t="s">
        <v>411</v>
      </c>
      <c r="F46" s="0" t="n">
        <v>33648.11</v>
      </c>
    </row>
    <row r="47" customFormat="false" ht="15" hidden="false" customHeight="false" outlineLevel="0" collapsed="false">
      <c r="A47" s="0" t="s">
        <v>408</v>
      </c>
      <c r="B47" s="0" t="s">
        <v>394</v>
      </c>
      <c r="C47" s="0" t="s">
        <v>409</v>
      </c>
      <c r="D47" s="0" t="s">
        <v>396</v>
      </c>
      <c r="E47" s="0" t="s">
        <v>412</v>
      </c>
      <c r="F47" s="0" t="n">
        <v>20262</v>
      </c>
    </row>
    <row r="48" customFormat="false" ht="15" hidden="false" customHeight="false" outlineLevel="0" collapsed="false">
      <c r="A48" s="0" t="s">
        <v>408</v>
      </c>
      <c r="B48" s="0" t="s">
        <v>394</v>
      </c>
      <c r="C48" s="0" t="s">
        <v>409</v>
      </c>
      <c r="D48" s="0" t="s">
        <v>417</v>
      </c>
      <c r="E48" s="0" t="s">
        <v>410</v>
      </c>
      <c r="F48" s="0" t="n">
        <v>1</v>
      </c>
    </row>
    <row r="49" customFormat="false" ht="15" hidden="false" customHeight="false" outlineLevel="0" collapsed="false">
      <c r="A49" s="0" t="s">
        <v>408</v>
      </c>
      <c r="B49" s="0" t="s">
        <v>394</v>
      </c>
      <c r="C49" s="0" t="s">
        <v>409</v>
      </c>
      <c r="D49" s="0" t="s">
        <v>417</v>
      </c>
      <c r="E49" s="0" t="s">
        <v>411</v>
      </c>
      <c r="F49" s="0" t="n">
        <v>0</v>
      </c>
    </row>
    <row r="50" customFormat="false" ht="15" hidden="false" customHeight="false" outlineLevel="0" collapsed="false">
      <c r="A50" s="0" t="s">
        <v>408</v>
      </c>
      <c r="B50" s="0" t="s">
        <v>394</v>
      </c>
      <c r="C50" s="0" t="s">
        <v>409</v>
      </c>
      <c r="D50" s="0" t="s">
        <v>417</v>
      </c>
      <c r="E50" s="0" t="s">
        <v>412</v>
      </c>
      <c r="F50" s="0" t="n">
        <v>1775</v>
      </c>
    </row>
    <row r="51" customFormat="false" ht="15" hidden="false" customHeight="false" outlineLevel="0" collapsed="false">
      <c r="A51" s="0" t="s">
        <v>408</v>
      </c>
      <c r="B51" s="0" t="s">
        <v>394</v>
      </c>
      <c r="C51" s="0" t="s">
        <v>409</v>
      </c>
      <c r="D51" s="0" t="s">
        <v>418</v>
      </c>
      <c r="E51" s="0" t="s">
        <v>410</v>
      </c>
      <c r="F51" s="0" t="n">
        <v>34569</v>
      </c>
    </row>
    <row r="52" customFormat="false" ht="15" hidden="false" customHeight="false" outlineLevel="0" collapsed="false">
      <c r="A52" s="0" t="s">
        <v>408</v>
      </c>
      <c r="B52" s="0" t="s">
        <v>394</v>
      </c>
      <c r="C52" s="0" t="s">
        <v>409</v>
      </c>
      <c r="D52" s="0" t="s">
        <v>418</v>
      </c>
      <c r="E52" s="0" t="s">
        <v>411</v>
      </c>
      <c r="F52" s="0" t="n">
        <v>54.97</v>
      </c>
    </row>
    <row r="53" customFormat="false" ht="15" hidden="false" customHeight="false" outlineLevel="0" collapsed="false">
      <c r="A53" s="0" t="s">
        <v>408</v>
      </c>
      <c r="B53" s="0" t="s">
        <v>394</v>
      </c>
      <c r="C53" s="0" t="s">
        <v>409</v>
      </c>
      <c r="D53" s="0" t="s">
        <v>418</v>
      </c>
      <c r="E53" s="0" t="s">
        <v>412</v>
      </c>
      <c r="F53" s="0" t="n">
        <v>15902</v>
      </c>
    </row>
    <row r="54" customFormat="false" ht="15" hidden="false" customHeight="false" outlineLevel="0" collapsed="false">
      <c r="A54" s="0" t="s">
        <v>408</v>
      </c>
      <c r="B54" s="0" t="s">
        <v>394</v>
      </c>
      <c r="C54" s="0" t="s">
        <v>409</v>
      </c>
      <c r="D54" s="0" t="s">
        <v>419</v>
      </c>
      <c r="E54" s="0" t="s">
        <v>410</v>
      </c>
      <c r="F54" s="0" t="n">
        <v>59809</v>
      </c>
    </row>
    <row r="55" customFormat="false" ht="15" hidden="false" customHeight="false" outlineLevel="0" collapsed="false">
      <c r="A55" s="0" t="s">
        <v>408</v>
      </c>
      <c r="B55" s="0" t="s">
        <v>394</v>
      </c>
      <c r="C55" s="0" t="s">
        <v>409</v>
      </c>
      <c r="D55" s="0" t="s">
        <v>419</v>
      </c>
      <c r="E55" s="0" t="s">
        <v>411</v>
      </c>
      <c r="F55" s="0" t="n">
        <v>134.81</v>
      </c>
    </row>
    <row r="56" customFormat="false" ht="15" hidden="false" customHeight="false" outlineLevel="0" collapsed="false">
      <c r="A56" s="0" t="s">
        <v>408</v>
      </c>
      <c r="B56" s="0" t="s">
        <v>394</v>
      </c>
      <c r="C56" s="0" t="s">
        <v>409</v>
      </c>
      <c r="D56" s="0" t="s">
        <v>419</v>
      </c>
      <c r="E56" s="0" t="s">
        <v>412</v>
      </c>
      <c r="F56" s="0" t="n">
        <v>22541</v>
      </c>
    </row>
    <row r="57" customFormat="false" ht="15" hidden="false" customHeight="false" outlineLevel="0" collapsed="false">
      <c r="A57" s="0" t="s">
        <v>408</v>
      </c>
      <c r="B57" s="0" t="s">
        <v>394</v>
      </c>
      <c r="C57" s="0" t="s">
        <v>409</v>
      </c>
      <c r="D57" s="0" t="s">
        <v>420</v>
      </c>
      <c r="E57" s="0" t="s">
        <v>410</v>
      </c>
      <c r="F57" s="0" t="n">
        <v>183587</v>
      </c>
    </row>
    <row r="58" customFormat="false" ht="15" hidden="false" customHeight="false" outlineLevel="0" collapsed="false">
      <c r="A58" s="0" t="s">
        <v>408</v>
      </c>
      <c r="B58" s="0" t="s">
        <v>394</v>
      </c>
      <c r="C58" s="0" t="s">
        <v>409</v>
      </c>
      <c r="D58" s="0" t="s">
        <v>420</v>
      </c>
      <c r="E58" s="0" t="s">
        <v>411</v>
      </c>
      <c r="F58" s="0" t="n">
        <v>241.31</v>
      </c>
    </row>
    <row r="59" customFormat="false" ht="15" hidden="false" customHeight="false" outlineLevel="0" collapsed="false">
      <c r="A59" s="0" t="s">
        <v>408</v>
      </c>
      <c r="B59" s="0" t="s">
        <v>394</v>
      </c>
      <c r="C59" s="0" t="s">
        <v>409</v>
      </c>
      <c r="D59" s="0" t="s">
        <v>420</v>
      </c>
      <c r="E59" s="0" t="s">
        <v>412</v>
      </c>
      <c r="F59" s="0" t="n">
        <v>13144</v>
      </c>
    </row>
    <row r="60" customFormat="false" ht="15" hidden="false" customHeight="false" outlineLevel="0" collapsed="false">
      <c r="A60" s="0" t="s">
        <v>408</v>
      </c>
      <c r="B60" s="0" t="s">
        <v>394</v>
      </c>
      <c r="C60" s="0" t="s">
        <v>409</v>
      </c>
      <c r="D60" s="0" t="s">
        <v>421</v>
      </c>
      <c r="E60" s="0" t="s">
        <v>410</v>
      </c>
      <c r="F60" s="0" t="n">
        <v>14316</v>
      </c>
    </row>
    <row r="61" customFormat="false" ht="15" hidden="false" customHeight="false" outlineLevel="0" collapsed="false">
      <c r="A61" s="0" t="s">
        <v>408</v>
      </c>
      <c r="B61" s="0" t="s">
        <v>394</v>
      </c>
      <c r="C61" s="0" t="s">
        <v>409</v>
      </c>
      <c r="D61" s="0" t="s">
        <v>421</v>
      </c>
      <c r="E61" s="0" t="s">
        <v>411</v>
      </c>
      <c r="F61" s="0" t="n">
        <v>9.07</v>
      </c>
    </row>
    <row r="62" customFormat="false" ht="15" hidden="false" customHeight="false" outlineLevel="0" collapsed="false">
      <c r="A62" s="0" t="s">
        <v>408</v>
      </c>
      <c r="B62" s="0" t="s">
        <v>394</v>
      </c>
      <c r="C62" s="0" t="s">
        <v>409</v>
      </c>
      <c r="D62" s="0" t="s">
        <v>421</v>
      </c>
      <c r="E62" s="0" t="s">
        <v>412</v>
      </c>
      <c r="F62" s="0" t="n">
        <v>6337</v>
      </c>
    </row>
    <row r="63" customFormat="false" ht="15" hidden="false" customHeight="false" outlineLevel="0" collapsed="false">
      <c r="A63" s="0" t="s">
        <v>408</v>
      </c>
      <c r="B63" s="0" t="s">
        <v>394</v>
      </c>
      <c r="C63" s="0" t="s">
        <v>409</v>
      </c>
      <c r="D63" s="0" t="s">
        <v>404</v>
      </c>
      <c r="E63" s="0" t="s">
        <v>410</v>
      </c>
      <c r="F63" s="0" t="n">
        <v>0</v>
      </c>
    </row>
    <row r="64" customFormat="false" ht="15" hidden="false" customHeight="false" outlineLevel="0" collapsed="false">
      <c r="A64" s="0" t="s">
        <v>408</v>
      </c>
      <c r="B64" s="0" t="s">
        <v>394</v>
      </c>
      <c r="C64" s="0" t="s">
        <v>409</v>
      </c>
      <c r="D64" s="0" t="s">
        <v>404</v>
      </c>
      <c r="E64" s="0" t="s">
        <v>411</v>
      </c>
      <c r="F64" s="0" t="n">
        <v>0</v>
      </c>
    </row>
    <row r="65" customFormat="false" ht="15" hidden="false" customHeight="false" outlineLevel="0" collapsed="false">
      <c r="A65" s="0" t="s">
        <v>408</v>
      </c>
      <c r="B65" s="0" t="s">
        <v>394</v>
      </c>
      <c r="C65" s="0" t="s">
        <v>409</v>
      </c>
      <c r="D65" s="0" t="s">
        <v>405</v>
      </c>
      <c r="E65" s="0" t="s">
        <v>410</v>
      </c>
      <c r="F65" s="0" t="n">
        <v>25184542</v>
      </c>
    </row>
    <row r="66" customFormat="false" ht="15" hidden="false" customHeight="false" outlineLevel="0" collapsed="false">
      <c r="A66" s="0" t="s">
        <v>408</v>
      </c>
      <c r="B66" s="0" t="s">
        <v>394</v>
      </c>
      <c r="C66" s="0" t="s">
        <v>409</v>
      </c>
      <c r="D66" s="0" t="s">
        <v>405</v>
      </c>
      <c r="E66" s="0" t="s">
        <v>411</v>
      </c>
      <c r="F66" s="0" t="n">
        <v>46611.39</v>
      </c>
    </row>
    <row r="67" customFormat="false" ht="15" hidden="false" customHeight="false" outlineLevel="0" collapsed="false">
      <c r="A67" s="0" t="s">
        <v>408</v>
      </c>
      <c r="B67" s="0" t="s">
        <v>394</v>
      </c>
      <c r="C67" s="0" t="s">
        <v>409</v>
      </c>
      <c r="D67" s="0" t="s">
        <v>405</v>
      </c>
      <c r="E67" s="0" t="s">
        <v>412</v>
      </c>
      <c r="F67" s="0" t="n">
        <v>18508</v>
      </c>
    </row>
    <row r="68" customFormat="false" ht="15" hidden="false" customHeight="false" outlineLevel="0" collapsed="false">
      <c r="A68" s="0" t="s">
        <v>422</v>
      </c>
      <c r="B68" s="0" t="s">
        <v>394</v>
      </c>
      <c r="C68" s="0" t="s">
        <v>423</v>
      </c>
      <c r="D68" s="0" t="s">
        <v>396</v>
      </c>
      <c r="E68" s="0" t="s">
        <v>410</v>
      </c>
      <c r="F68" s="0" t="n">
        <v>19614455</v>
      </c>
    </row>
    <row r="69" customFormat="false" ht="15" hidden="false" customHeight="false" outlineLevel="0" collapsed="false">
      <c r="A69" s="0" t="s">
        <v>422</v>
      </c>
      <c r="B69" s="0" t="s">
        <v>394</v>
      </c>
      <c r="C69" s="0" t="s">
        <v>423</v>
      </c>
      <c r="D69" s="0" t="s">
        <v>396</v>
      </c>
      <c r="E69" s="0" t="s">
        <v>424</v>
      </c>
      <c r="F69" s="0" t="n">
        <v>82292.61</v>
      </c>
    </row>
    <row r="70" customFormat="false" ht="15" hidden="false" customHeight="false" outlineLevel="0" collapsed="false">
      <c r="A70" s="0" t="s">
        <v>422</v>
      </c>
      <c r="B70" s="0" t="s">
        <v>394</v>
      </c>
      <c r="C70" s="0" t="s">
        <v>423</v>
      </c>
      <c r="D70" s="0" t="s">
        <v>396</v>
      </c>
      <c r="E70" s="0" t="s">
        <v>425</v>
      </c>
      <c r="F70" s="0" t="n">
        <v>41955</v>
      </c>
    </row>
    <row r="71" customFormat="false" ht="15" hidden="false" customHeight="false" outlineLevel="0" collapsed="false">
      <c r="A71" s="0" t="s">
        <v>422</v>
      </c>
      <c r="B71" s="0" t="s">
        <v>394</v>
      </c>
      <c r="C71" s="0" t="s">
        <v>423</v>
      </c>
      <c r="D71" s="0" t="s">
        <v>426</v>
      </c>
      <c r="E71" s="0" t="s">
        <v>410</v>
      </c>
      <c r="F71" s="0" t="n">
        <v>4209200</v>
      </c>
    </row>
    <row r="72" customFormat="false" ht="15" hidden="false" customHeight="false" outlineLevel="0" collapsed="false">
      <c r="A72" s="0" t="s">
        <v>422</v>
      </c>
      <c r="B72" s="0" t="s">
        <v>394</v>
      </c>
      <c r="C72" s="0" t="s">
        <v>423</v>
      </c>
      <c r="D72" s="0" t="s">
        <v>426</v>
      </c>
      <c r="E72" s="0" t="s">
        <v>424</v>
      </c>
      <c r="F72" s="0" t="n">
        <v>54240.99</v>
      </c>
    </row>
    <row r="73" customFormat="false" ht="15" hidden="false" customHeight="false" outlineLevel="0" collapsed="false">
      <c r="A73" s="0" t="s">
        <v>422</v>
      </c>
      <c r="B73" s="0" t="s">
        <v>394</v>
      </c>
      <c r="C73" s="0" t="s">
        <v>423</v>
      </c>
      <c r="D73" s="0" t="s">
        <v>426</v>
      </c>
      <c r="E73" s="0" t="s">
        <v>425</v>
      </c>
      <c r="F73" s="0" t="n">
        <v>128863</v>
      </c>
    </row>
    <row r="74" customFormat="false" ht="15" hidden="false" customHeight="false" outlineLevel="0" collapsed="false">
      <c r="A74" s="0" t="s">
        <v>422</v>
      </c>
      <c r="B74" s="0" t="s">
        <v>394</v>
      </c>
      <c r="C74" s="0" t="s">
        <v>423</v>
      </c>
      <c r="D74" s="0" t="s">
        <v>427</v>
      </c>
      <c r="E74" s="0" t="s">
        <v>410</v>
      </c>
      <c r="F74" s="0" t="n">
        <v>750592</v>
      </c>
    </row>
    <row r="75" customFormat="false" ht="15" hidden="false" customHeight="false" outlineLevel="0" collapsed="false">
      <c r="A75" s="0" t="s">
        <v>422</v>
      </c>
      <c r="B75" s="0" t="s">
        <v>394</v>
      </c>
      <c r="C75" s="0" t="s">
        <v>423</v>
      </c>
      <c r="D75" s="0" t="s">
        <v>427</v>
      </c>
      <c r="E75" s="0" t="s">
        <v>424</v>
      </c>
      <c r="F75" s="0" t="n">
        <v>3489.08</v>
      </c>
    </row>
    <row r="76" customFormat="false" ht="15" hidden="false" customHeight="false" outlineLevel="0" collapsed="false">
      <c r="A76" s="0" t="s">
        <v>422</v>
      </c>
      <c r="B76" s="0" t="s">
        <v>394</v>
      </c>
      <c r="C76" s="0" t="s">
        <v>423</v>
      </c>
      <c r="D76" s="0" t="s">
        <v>427</v>
      </c>
      <c r="E76" s="0" t="s">
        <v>425</v>
      </c>
      <c r="F76" s="0" t="n">
        <v>46484</v>
      </c>
    </row>
    <row r="77" customFormat="false" ht="15" hidden="false" customHeight="false" outlineLevel="0" collapsed="false">
      <c r="A77" s="0" t="s">
        <v>422</v>
      </c>
      <c r="B77" s="0" t="s">
        <v>394</v>
      </c>
      <c r="C77" s="0" t="s">
        <v>423</v>
      </c>
      <c r="D77" s="0" t="s">
        <v>400</v>
      </c>
      <c r="E77" s="0" t="s">
        <v>410</v>
      </c>
      <c r="F77" s="0" t="n">
        <v>1040922</v>
      </c>
    </row>
    <row r="78" customFormat="false" ht="15" hidden="false" customHeight="false" outlineLevel="0" collapsed="false">
      <c r="A78" s="0" t="s">
        <v>422</v>
      </c>
      <c r="B78" s="0" t="s">
        <v>394</v>
      </c>
      <c r="C78" s="0" t="s">
        <v>423</v>
      </c>
      <c r="D78" s="0" t="s">
        <v>400</v>
      </c>
      <c r="E78" s="0" t="s">
        <v>424</v>
      </c>
      <c r="F78" s="0" t="n">
        <v>6191.84</v>
      </c>
    </row>
    <row r="79" customFormat="false" ht="15" hidden="false" customHeight="false" outlineLevel="0" collapsed="false">
      <c r="A79" s="0" t="s">
        <v>422</v>
      </c>
      <c r="B79" s="0" t="s">
        <v>394</v>
      </c>
      <c r="C79" s="0" t="s">
        <v>423</v>
      </c>
      <c r="D79" s="0" t="s">
        <v>400</v>
      </c>
      <c r="E79" s="0" t="s">
        <v>425</v>
      </c>
      <c r="F79" s="0" t="n">
        <v>59484</v>
      </c>
    </row>
    <row r="80" customFormat="false" ht="15" hidden="false" customHeight="false" outlineLevel="0" collapsed="false">
      <c r="A80" s="0" t="s">
        <v>422</v>
      </c>
      <c r="B80" s="0" t="s">
        <v>394</v>
      </c>
      <c r="C80" s="0" t="s">
        <v>423</v>
      </c>
      <c r="D80" s="0" t="s">
        <v>428</v>
      </c>
      <c r="E80" s="0" t="s">
        <v>410</v>
      </c>
      <c r="F80" s="0" t="n">
        <v>883497</v>
      </c>
    </row>
    <row r="81" customFormat="false" ht="15" hidden="false" customHeight="false" outlineLevel="0" collapsed="false">
      <c r="A81" s="0" t="s">
        <v>422</v>
      </c>
      <c r="B81" s="0" t="s">
        <v>394</v>
      </c>
      <c r="C81" s="0" t="s">
        <v>423</v>
      </c>
      <c r="D81" s="0" t="s">
        <v>428</v>
      </c>
      <c r="E81" s="0" t="s">
        <v>424</v>
      </c>
      <c r="F81" s="0" t="n">
        <v>17778.66</v>
      </c>
    </row>
    <row r="82" customFormat="false" ht="15" hidden="false" customHeight="false" outlineLevel="0" collapsed="false">
      <c r="A82" s="0" t="s">
        <v>422</v>
      </c>
      <c r="B82" s="0" t="s">
        <v>394</v>
      </c>
      <c r="C82" s="0" t="s">
        <v>423</v>
      </c>
      <c r="D82" s="0" t="s">
        <v>428</v>
      </c>
      <c r="E82" s="0" t="s">
        <v>425</v>
      </c>
      <c r="F82" s="0" t="n">
        <v>201231</v>
      </c>
    </row>
    <row r="83" customFormat="false" ht="15" hidden="false" customHeight="false" outlineLevel="0" collapsed="false">
      <c r="A83" s="0" t="s">
        <v>422</v>
      </c>
      <c r="B83" s="0" t="s">
        <v>394</v>
      </c>
      <c r="C83" s="0" t="s">
        <v>423</v>
      </c>
      <c r="D83" s="0" t="s">
        <v>429</v>
      </c>
      <c r="E83" s="0" t="s">
        <v>410</v>
      </c>
      <c r="F83" s="0" t="n">
        <v>196807</v>
      </c>
    </row>
    <row r="84" customFormat="false" ht="15" hidden="false" customHeight="false" outlineLevel="0" collapsed="false">
      <c r="A84" s="0" t="s">
        <v>422</v>
      </c>
      <c r="B84" s="0" t="s">
        <v>394</v>
      </c>
      <c r="C84" s="0" t="s">
        <v>423</v>
      </c>
      <c r="D84" s="0" t="s">
        <v>429</v>
      </c>
      <c r="E84" s="0" t="s">
        <v>424</v>
      </c>
      <c r="F84" s="0" t="n">
        <v>112.53</v>
      </c>
    </row>
    <row r="85" customFormat="false" ht="15" hidden="false" customHeight="false" outlineLevel="0" collapsed="false">
      <c r="A85" s="0" t="s">
        <v>422</v>
      </c>
      <c r="B85" s="0" t="s">
        <v>394</v>
      </c>
      <c r="C85" s="0" t="s">
        <v>423</v>
      </c>
      <c r="D85" s="0" t="s">
        <v>429</v>
      </c>
      <c r="E85" s="0" t="s">
        <v>425</v>
      </c>
      <c r="F85" s="0" t="n">
        <v>5718</v>
      </c>
    </row>
    <row r="86" customFormat="false" ht="15" hidden="false" customHeight="false" outlineLevel="0" collapsed="false">
      <c r="A86" s="0" t="s">
        <v>422</v>
      </c>
      <c r="B86" s="0" t="s">
        <v>394</v>
      </c>
      <c r="C86" s="0" t="s">
        <v>423</v>
      </c>
      <c r="D86" s="0" t="s">
        <v>430</v>
      </c>
      <c r="E86" s="0" t="s">
        <v>410</v>
      </c>
      <c r="F86" s="0" t="n">
        <v>85220</v>
      </c>
    </row>
    <row r="87" customFormat="false" ht="15" hidden="false" customHeight="false" outlineLevel="0" collapsed="false">
      <c r="A87" s="0" t="s">
        <v>422</v>
      </c>
      <c r="B87" s="0" t="s">
        <v>394</v>
      </c>
      <c r="C87" s="0" t="s">
        <v>423</v>
      </c>
      <c r="D87" s="0" t="s">
        <v>430</v>
      </c>
      <c r="E87" s="0" t="s">
        <v>424</v>
      </c>
      <c r="F87" s="0" t="n">
        <v>103.18</v>
      </c>
    </row>
    <row r="88" customFormat="false" ht="15" hidden="false" customHeight="false" outlineLevel="0" collapsed="false">
      <c r="A88" s="0" t="s">
        <v>422</v>
      </c>
      <c r="B88" s="0" t="s">
        <v>394</v>
      </c>
      <c r="C88" s="0" t="s">
        <v>423</v>
      </c>
      <c r="D88" s="0" t="s">
        <v>430</v>
      </c>
      <c r="E88" s="0" t="s">
        <v>425</v>
      </c>
      <c r="F88" s="0" t="n">
        <v>12107</v>
      </c>
    </row>
    <row r="89" customFormat="false" ht="15" hidden="false" customHeight="false" outlineLevel="0" collapsed="false">
      <c r="A89" s="0" t="s">
        <v>422</v>
      </c>
      <c r="B89" s="0" t="s">
        <v>394</v>
      </c>
      <c r="C89" s="0" t="s">
        <v>423</v>
      </c>
      <c r="D89" s="0" t="s">
        <v>431</v>
      </c>
      <c r="E89" s="0" t="s">
        <v>410</v>
      </c>
      <c r="F89" s="0" t="n">
        <v>4258</v>
      </c>
    </row>
    <row r="90" customFormat="false" ht="15" hidden="false" customHeight="false" outlineLevel="0" collapsed="false">
      <c r="A90" s="0" t="s">
        <v>422</v>
      </c>
      <c r="B90" s="0" t="s">
        <v>394</v>
      </c>
      <c r="C90" s="0" t="s">
        <v>423</v>
      </c>
      <c r="D90" s="0" t="s">
        <v>431</v>
      </c>
      <c r="E90" s="0" t="s">
        <v>424</v>
      </c>
      <c r="F90" s="0" t="n">
        <v>18.1</v>
      </c>
    </row>
    <row r="91" customFormat="false" ht="15" hidden="false" customHeight="false" outlineLevel="0" collapsed="false">
      <c r="A91" s="0" t="s">
        <v>422</v>
      </c>
      <c r="B91" s="0" t="s">
        <v>394</v>
      </c>
      <c r="C91" s="0" t="s">
        <v>423</v>
      </c>
      <c r="D91" s="0" t="s">
        <v>431</v>
      </c>
      <c r="E91" s="0" t="s">
        <v>425</v>
      </c>
      <c r="F91" s="0" t="n">
        <v>42502</v>
      </c>
    </row>
    <row r="92" customFormat="false" ht="15" hidden="false" customHeight="false" outlineLevel="0" collapsed="false">
      <c r="A92" s="0" t="s">
        <v>422</v>
      </c>
      <c r="B92" s="0" t="s">
        <v>394</v>
      </c>
      <c r="C92" s="0" t="s">
        <v>423</v>
      </c>
      <c r="D92" s="0" t="s">
        <v>432</v>
      </c>
      <c r="E92" s="0" t="s">
        <v>410</v>
      </c>
      <c r="F92" s="0" t="n">
        <v>33915</v>
      </c>
    </row>
    <row r="93" customFormat="false" ht="15" hidden="false" customHeight="false" outlineLevel="0" collapsed="false">
      <c r="A93" s="0" t="s">
        <v>422</v>
      </c>
      <c r="B93" s="0" t="s">
        <v>394</v>
      </c>
      <c r="C93" s="0" t="s">
        <v>423</v>
      </c>
      <c r="D93" s="0" t="s">
        <v>432</v>
      </c>
      <c r="E93" s="0" t="s">
        <v>424</v>
      </c>
      <c r="F93" s="0" t="n">
        <v>758.21</v>
      </c>
    </row>
    <row r="94" customFormat="false" ht="15" hidden="false" customHeight="false" outlineLevel="0" collapsed="false">
      <c r="A94" s="0" t="s">
        <v>422</v>
      </c>
      <c r="B94" s="0" t="s">
        <v>394</v>
      </c>
      <c r="C94" s="0" t="s">
        <v>423</v>
      </c>
      <c r="D94" s="0" t="s">
        <v>432</v>
      </c>
      <c r="E94" s="0" t="s">
        <v>425</v>
      </c>
      <c r="F94" s="0" t="n">
        <v>223561</v>
      </c>
    </row>
    <row r="95" customFormat="false" ht="15" hidden="false" customHeight="false" outlineLevel="0" collapsed="false">
      <c r="A95" s="0" t="s">
        <v>422</v>
      </c>
      <c r="B95" s="0" t="s">
        <v>394</v>
      </c>
      <c r="C95" s="0" t="s">
        <v>423</v>
      </c>
      <c r="D95" s="0" t="s">
        <v>433</v>
      </c>
      <c r="E95" s="0" t="s">
        <v>410</v>
      </c>
      <c r="F95" s="0" t="n">
        <v>200069</v>
      </c>
    </row>
    <row r="96" customFormat="false" ht="15" hidden="false" customHeight="false" outlineLevel="0" collapsed="false">
      <c r="A96" s="0" t="s">
        <v>422</v>
      </c>
      <c r="B96" s="0" t="s">
        <v>394</v>
      </c>
      <c r="C96" s="0" t="s">
        <v>423</v>
      </c>
      <c r="D96" s="0" t="s">
        <v>433</v>
      </c>
      <c r="E96" s="0" t="s">
        <v>424</v>
      </c>
      <c r="F96" s="0" t="n">
        <v>1441.53</v>
      </c>
    </row>
    <row r="97" customFormat="false" ht="15" hidden="false" customHeight="false" outlineLevel="0" collapsed="false">
      <c r="A97" s="0" t="s">
        <v>422</v>
      </c>
      <c r="B97" s="0" t="s">
        <v>394</v>
      </c>
      <c r="C97" s="0" t="s">
        <v>423</v>
      </c>
      <c r="D97" s="0" t="s">
        <v>433</v>
      </c>
      <c r="E97" s="0" t="s">
        <v>425</v>
      </c>
      <c r="F97" s="0" t="n">
        <v>72052</v>
      </c>
    </row>
    <row r="98" customFormat="false" ht="15" hidden="false" customHeight="false" outlineLevel="0" collapsed="false">
      <c r="A98" s="0" t="s">
        <v>422</v>
      </c>
      <c r="B98" s="0" t="s">
        <v>394</v>
      </c>
      <c r="C98" s="0" t="s">
        <v>423</v>
      </c>
      <c r="D98" s="0" t="s">
        <v>420</v>
      </c>
      <c r="E98" s="0" t="s">
        <v>410</v>
      </c>
      <c r="F98" s="0" t="n">
        <v>2975</v>
      </c>
    </row>
    <row r="99" customFormat="false" ht="15" hidden="false" customHeight="false" outlineLevel="0" collapsed="false">
      <c r="A99" s="0" t="s">
        <v>422</v>
      </c>
      <c r="B99" s="0" t="s">
        <v>394</v>
      </c>
      <c r="C99" s="0" t="s">
        <v>423</v>
      </c>
      <c r="D99" s="0" t="s">
        <v>420</v>
      </c>
      <c r="E99" s="0" t="s">
        <v>424</v>
      </c>
      <c r="F99" s="0" t="n">
        <v>11.63</v>
      </c>
    </row>
    <row r="100" customFormat="false" ht="15" hidden="false" customHeight="false" outlineLevel="0" collapsed="false">
      <c r="A100" s="0" t="s">
        <v>422</v>
      </c>
      <c r="B100" s="0" t="s">
        <v>394</v>
      </c>
      <c r="C100" s="0" t="s">
        <v>423</v>
      </c>
      <c r="D100" s="0" t="s">
        <v>420</v>
      </c>
      <c r="E100" s="0" t="s">
        <v>425</v>
      </c>
      <c r="F100" s="0" t="n">
        <v>39097</v>
      </c>
    </row>
    <row r="101" customFormat="false" ht="15" hidden="false" customHeight="false" outlineLevel="0" collapsed="false">
      <c r="A101" s="0" t="s">
        <v>422</v>
      </c>
      <c r="B101" s="0" t="s">
        <v>394</v>
      </c>
      <c r="C101" s="0" t="s">
        <v>423</v>
      </c>
      <c r="D101" s="0" t="s">
        <v>434</v>
      </c>
      <c r="E101" s="0" t="s">
        <v>410</v>
      </c>
      <c r="F101" s="0" t="n">
        <v>0</v>
      </c>
    </row>
    <row r="102" customFormat="false" ht="15" hidden="false" customHeight="false" outlineLevel="0" collapsed="false">
      <c r="A102" s="0" t="s">
        <v>422</v>
      </c>
      <c r="B102" s="0" t="s">
        <v>394</v>
      </c>
      <c r="C102" s="0" t="s">
        <v>423</v>
      </c>
      <c r="D102" s="0" t="s">
        <v>434</v>
      </c>
      <c r="E102" s="0" t="s">
        <v>424</v>
      </c>
      <c r="F102" s="0" t="n">
        <v>0.13</v>
      </c>
    </row>
    <row r="103" customFormat="false" ht="15" hidden="false" customHeight="false" outlineLevel="0" collapsed="false">
      <c r="A103" s="0" t="s">
        <v>422</v>
      </c>
      <c r="B103" s="0" t="s">
        <v>394</v>
      </c>
      <c r="C103" s="0" t="s">
        <v>423</v>
      </c>
      <c r="D103" s="0" t="s">
        <v>405</v>
      </c>
      <c r="E103" s="0" t="s">
        <v>410</v>
      </c>
      <c r="F103" s="0" t="n">
        <v>27021910</v>
      </c>
    </row>
    <row r="104" customFormat="false" ht="15" hidden="false" customHeight="false" outlineLevel="0" collapsed="false">
      <c r="A104" s="0" t="s">
        <v>422</v>
      </c>
      <c r="B104" s="0" t="s">
        <v>394</v>
      </c>
      <c r="C104" s="0" t="s">
        <v>423</v>
      </c>
      <c r="D104" s="0" t="s">
        <v>405</v>
      </c>
      <c r="E104" s="0" t="s">
        <v>424</v>
      </c>
      <c r="F104" s="0" t="n">
        <v>166438.48</v>
      </c>
    </row>
    <row r="105" customFormat="false" ht="15" hidden="false" customHeight="false" outlineLevel="0" collapsed="false">
      <c r="A105" s="0" t="s">
        <v>422</v>
      </c>
      <c r="B105" s="0" t="s">
        <v>394</v>
      </c>
      <c r="C105" s="0" t="s">
        <v>423</v>
      </c>
      <c r="D105" s="0" t="s">
        <v>405</v>
      </c>
      <c r="E105" s="0" t="s">
        <v>425</v>
      </c>
      <c r="F105" s="0" t="n">
        <v>61594</v>
      </c>
    </row>
    <row r="106" customFormat="false" ht="15" hidden="false" customHeight="false" outlineLevel="0" collapsed="false">
      <c r="A106" s="0" t="s">
        <v>422</v>
      </c>
      <c r="B106" s="0" t="s">
        <v>394</v>
      </c>
      <c r="C106" s="0" t="s">
        <v>423</v>
      </c>
      <c r="D106" s="0" t="s">
        <v>435</v>
      </c>
      <c r="E106" s="0" t="s">
        <v>410</v>
      </c>
      <c r="F106" s="0" t="n">
        <v>230</v>
      </c>
    </row>
    <row r="107" customFormat="false" ht="15" hidden="false" customHeight="false" outlineLevel="0" collapsed="false">
      <c r="A107" s="0" t="s">
        <v>422</v>
      </c>
      <c r="B107" s="0" t="s">
        <v>394</v>
      </c>
      <c r="C107" s="0" t="s">
        <v>423</v>
      </c>
      <c r="D107" s="0" t="s">
        <v>435</v>
      </c>
      <c r="E107" s="0" t="s">
        <v>424</v>
      </c>
      <c r="F107" s="0" t="n">
        <v>1.16</v>
      </c>
    </row>
    <row r="108" customFormat="false" ht="15" hidden="false" customHeight="false" outlineLevel="0" collapsed="false">
      <c r="A108" s="0" t="s">
        <v>422</v>
      </c>
      <c r="B108" s="0" t="s">
        <v>394</v>
      </c>
      <c r="C108" s="0" t="s">
        <v>423</v>
      </c>
      <c r="D108" s="0" t="s">
        <v>435</v>
      </c>
      <c r="E108" s="0" t="s">
        <v>425</v>
      </c>
      <c r="F108" s="0" t="n">
        <v>50476</v>
      </c>
    </row>
    <row r="109" customFormat="false" ht="15" hidden="false" customHeight="false" outlineLevel="0" collapsed="false">
      <c r="A109" s="0" t="s">
        <v>436</v>
      </c>
      <c r="B109" s="0" t="s">
        <v>394</v>
      </c>
      <c r="C109" s="0" t="s">
        <v>437</v>
      </c>
      <c r="D109" s="0" t="s">
        <v>438</v>
      </c>
      <c r="E109" s="0" t="s">
        <v>439</v>
      </c>
      <c r="F109" s="0" t="n">
        <v>0.0945</v>
      </c>
    </row>
    <row r="110" customFormat="false" ht="15" hidden="false" customHeight="false" outlineLevel="0" collapsed="false">
      <c r="A110" s="0" t="s">
        <v>436</v>
      </c>
      <c r="B110" s="0" t="s">
        <v>394</v>
      </c>
      <c r="C110" s="0" t="s">
        <v>437</v>
      </c>
      <c r="D110" s="0" t="s">
        <v>440</v>
      </c>
      <c r="E110" s="0" t="s">
        <v>439</v>
      </c>
      <c r="F110" s="0" t="n">
        <v>0.1022</v>
      </c>
    </row>
    <row r="111" customFormat="false" ht="15" hidden="false" customHeight="false" outlineLevel="0" collapsed="false">
      <c r="A111" s="0" t="s">
        <v>436</v>
      </c>
      <c r="B111" s="0" t="s">
        <v>394</v>
      </c>
      <c r="C111" s="0" t="s">
        <v>437</v>
      </c>
      <c r="D111" s="0" t="s">
        <v>441</v>
      </c>
      <c r="E111" s="0" t="s">
        <v>439</v>
      </c>
      <c r="F111" s="0" t="n">
        <v>0.0553</v>
      </c>
    </row>
    <row r="112" customFormat="false" ht="15" hidden="false" customHeight="false" outlineLevel="0" collapsed="false">
      <c r="A112" s="0" t="s">
        <v>436</v>
      </c>
      <c r="B112" s="0" t="s">
        <v>394</v>
      </c>
      <c r="C112" s="0" t="s">
        <v>437</v>
      </c>
      <c r="D112" s="0" t="s">
        <v>442</v>
      </c>
      <c r="E112" s="0" t="s">
        <v>439</v>
      </c>
      <c r="F112" s="0" t="n">
        <v>0.1251</v>
      </c>
    </row>
    <row r="113" customFormat="false" ht="15" hidden="false" customHeight="false" outlineLevel="0" collapsed="false">
      <c r="A113" s="0" t="s">
        <v>436</v>
      </c>
      <c r="B113" s="0" t="s">
        <v>394</v>
      </c>
      <c r="C113" s="0" t="s">
        <v>437</v>
      </c>
      <c r="D113" s="0" t="s">
        <v>443</v>
      </c>
      <c r="E113" s="0" t="s">
        <v>439</v>
      </c>
      <c r="F113" s="0" t="n">
        <v>0.0962</v>
      </c>
    </row>
    <row r="114" customFormat="false" ht="15" hidden="false" customHeight="false" outlineLevel="0" collapsed="false">
      <c r="A114" s="0" t="s">
        <v>436</v>
      </c>
      <c r="B114" s="0" t="s">
        <v>394</v>
      </c>
      <c r="C114" s="0" t="s">
        <v>437</v>
      </c>
      <c r="D114" s="0" t="s">
        <v>444</v>
      </c>
      <c r="E114" s="0" t="s">
        <v>439</v>
      </c>
      <c r="F114" s="0" t="n">
        <v>0.1016</v>
      </c>
    </row>
    <row r="115" customFormat="false" ht="15" hidden="false" customHeight="false" outlineLevel="0" collapsed="false">
      <c r="A115" s="0" t="s">
        <v>436</v>
      </c>
      <c r="B115" s="0" t="s">
        <v>394</v>
      </c>
      <c r="C115" s="0" t="s">
        <v>437</v>
      </c>
      <c r="D115" s="0" t="s">
        <v>445</v>
      </c>
      <c r="E115" s="0" t="s">
        <v>439</v>
      </c>
      <c r="F115" s="0" t="n">
        <v>0.0393</v>
      </c>
    </row>
    <row r="116" customFormat="false" ht="15" hidden="false" customHeight="false" outlineLevel="0" collapsed="false">
      <c r="A116" s="0" t="s">
        <v>436</v>
      </c>
      <c r="B116" s="0" t="s">
        <v>394</v>
      </c>
      <c r="C116" s="0" t="s">
        <v>437</v>
      </c>
      <c r="D116" s="0" t="s">
        <v>446</v>
      </c>
      <c r="E116" s="0" t="s">
        <v>439</v>
      </c>
      <c r="F116" s="0" t="n">
        <v>0.241</v>
      </c>
    </row>
    <row r="117" customFormat="false" ht="15" hidden="false" customHeight="false" outlineLevel="0" collapsed="false">
      <c r="A117" s="0" t="s">
        <v>436</v>
      </c>
      <c r="B117" s="0" t="s">
        <v>394</v>
      </c>
      <c r="C117" s="0" t="s">
        <v>437</v>
      </c>
      <c r="D117" s="0" t="s">
        <v>447</v>
      </c>
      <c r="E117" s="0" t="s">
        <v>439</v>
      </c>
      <c r="F117" s="0" t="n">
        <v>0.1465</v>
      </c>
    </row>
    <row r="118" customFormat="false" ht="15" hidden="false" customHeight="false" outlineLevel="0" collapsed="false">
      <c r="A118" s="0" t="s">
        <v>436</v>
      </c>
      <c r="B118" s="0" t="s">
        <v>394</v>
      </c>
      <c r="C118" s="0" t="s">
        <v>437</v>
      </c>
      <c r="D118" s="0" t="s">
        <v>448</v>
      </c>
      <c r="E118" s="0" t="s">
        <v>439</v>
      </c>
      <c r="F118" s="0" t="n">
        <v>0.277</v>
      </c>
    </row>
    <row r="119" customFormat="false" ht="15" hidden="false" customHeight="false" outlineLevel="0" collapsed="false">
      <c r="A119" s="0" t="s">
        <v>436</v>
      </c>
      <c r="B119" s="0" t="s">
        <v>394</v>
      </c>
      <c r="C119" s="0" t="s">
        <v>437</v>
      </c>
      <c r="D119" s="0" t="s">
        <v>449</v>
      </c>
      <c r="E119" s="0" t="s">
        <v>439</v>
      </c>
      <c r="F119" s="0" t="n">
        <v>0.0592</v>
      </c>
    </row>
    <row r="120" customFormat="false" ht="15" hidden="false" customHeight="false" outlineLevel="0" collapsed="false">
      <c r="A120" s="0" t="s">
        <v>436</v>
      </c>
      <c r="B120" s="0" t="s">
        <v>394</v>
      </c>
      <c r="C120" s="0" t="s">
        <v>437</v>
      </c>
      <c r="D120" s="0" t="s">
        <v>450</v>
      </c>
      <c r="E120" s="0" t="s">
        <v>439</v>
      </c>
      <c r="F120" s="0" t="n">
        <v>0.1938</v>
      </c>
    </row>
    <row r="121" customFormat="false" ht="15" hidden="false" customHeight="false" outlineLevel="0" collapsed="false">
      <c r="A121" s="0" t="s">
        <v>436</v>
      </c>
      <c r="B121" s="0" t="s">
        <v>394</v>
      </c>
      <c r="C121" s="0" t="s">
        <v>437</v>
      </c>
      <c r="D121" s="0" t="s">
        <v>451</v>
      </c>
      <c r="E121" s="0" t="s">
        <v>439</v>
      </c>
      <c r="F121" s="0" t="n">
        <v>0.1467</v>
      </c>
    </row>
    <row r="122" customFormat="false" ht="15" hidden="false" customHeight="false" outlineLevel="0" collapsed="false">
      <c r="A122" s="0" t="s">
        <v>436</v>
      </c>
      <c r="B122" s="0" t="s">
        <v>394</v>
      </c>
      <c r="C122" s="0" t="s">
        <v>437</v>
      </c>
      <c r="D122" s="0" t="s">
        <v>452</v>
      </c>
      <c r="E122" s="0" t="s">
        <v>439</v>
      </c>
      <c r="F122" s="0" t="n">
        <v>0.207</v>
      </c>
    </row>
    <row r="123" customFormat="false" ht="15" hidden="false" customHeight="false" outlineLevel="0" collapsed="false">
      <c r="A123" s="0" t="s">
        <v>436</v>
      </c>
      <c r="B123" s="0" t="s">
        <v>394</v>
      </c>
      <c r="C123" s="0" t="s">
        <v>437</v>
      </c>
      <c r="D123" s="0" t="s">
        <v>453</v>
      </c>
      <c r="E123" s="0" t="s">
        <v>439</v>
      </c>
      <c r="F123" s="0" t="n">
        <v>-0.0187</v>
      </c>
    </row>
    <row r="124" customFormat="false" ht="15" hidden="false" customHeight="false" outlineLevel="0" collapsed="false">
      <c r="A124" s="0" t="s">
        <v>436</v>
      </c>
      <c r="B124" s="0" t="s">
        <v>394</v>
      </c>
      <c r="C124" s="0" t="s">
        <v>437</v>
      </c>
      <c r="D124" s="0" t="s">
        <v>454</v>
      </c>
      <c r="E124" s="0" t="s">
        <v>439</v>
      </c>
      <c r="F124" s="0" t="n">
        <v>0.2351</v>
      </c>
    </row>
    <row r="125" customFormat="false" ht="15" hidden="false" customHeight="false" outlineLevel="0" collapsed="false">
      <c r="A125" s="0" t="s">
        <v>436</v>
      </c>
      <c r="B125" s="0" t="s">
        <v>394</v>
      </c>
      <c r="C125" s="0" t="s">
        <v>437</v>
      </c>
      <c r="D125" s="0" t="s">
        <v>455</v>
      </c>
      <c r="E125" s="0" t="s">
        <v>439</v>
      </c>
      <c r="F125" s="0" t="n">
        <v>0.2291</v>
      </c>
    </row>
    <row r="126" customFormat="false" ht="15" hidden="false" customHeight="false" outlineLevel="0" collapsed="false">
      <c r="A126" s="0" t="s">
        <v>436</v>
      </c>
      <c r="B126" s="0" t="s">
        <v>394</v>
      </c>
      <c r="C126" s="0" t="s">
        <v>437</v>
      </c>
      <c r="D126" s="0" t="s">
        <v>456</v>
      </c>
      <c r="E126" s="0" t="s">
        <v>439</v>
      </c>
      <c r="F126" s="0" t="n">
        <v>0.0657</v>
      </c>
    </row>
    <row r="127" customFormat="false" ht="15" hidden="false" customHeight="false" outlineLevel="0" collapsed="false">
      <c r="A127" s="0" t="s">
        <v>436</v>
      </c>
      <c r="B127" s="0" t="s">
        <v>394</v>
      </c>
      <c r="C127" s="0" t="s">
        <v>437</v>
      </c>
      <c r="D127" s="0" t="s">
        <v>457</v>
      </c>
      <c r="E127" s="0" t="s">
        <v>439</v>
      </c>
      <c r="F127" s="0" t="n">
        <v>0.2025</v>
      </c>
    </row>
    <row r="128" customFormat="false" ht="15" hidden="false" customHeight="false" outlineLevel="0" collapsed="false">
      <c r="A128" s="0" t="s">
        <v>436</v>
      </c>
      <c r="B128" s="0" t="s">
        <v>394</v>
      </c>
      <c r="C128" s="0" t="s">
        <v>437</v>
      </c>
      <c r="D128" s="0" t="s">
        <v>458</v>
      </c>
      <c r="E128" s="0" t="s">
        <v>439</v>
      </c>
      <c r="F128" s="0" t="n">
        <v>0.1493</v>
      </c>
    </row>
    <row r="129" customFormat="false" ht="15" hidden="false" customHeight="false" outlineLevel="0" collapsed="false">
      <c r="A129" s="0" t="s">
        <v>436</v>
      </c>
      <c r="B129" s="0" t="s">
        <v>394</v>
      </c>
      <c r="C129" s="0" t="s">
        <v>437</v>
      </c>
      <c r="D129" s="0" t="s">
        <v>459</v>
      </c>
      <c r="E129" s="0" t="s">
        <v>439</v>
      </c>
      <c r="F129" s="0" t="n">
        <v>0.2321</v>
      </c>
    </row>
    <row r="130" customFormat="false" ht="15" hidden="false" customHeight="false" outlineLevel="0" collapsed="false">
      <c r="A130" s="0" t="s">
        <v>436</v>
      </c>
      <c r="B130" s="0" t="s">
        <v>394</v>
      </c>
      <c r="C130" s="0" t="s">
        <v>437</v>
      </c>
      <c r="D130" s="0" t="s">
        <v>460</v>
      </c>
      <c r="E130" s="0" t="s">
        <v>439</v>
      </c>
      <c r="F130" s="0" t="n">
        <v>0.1236</v>
      </c>
    </row>
    <row r="131" customFormat="false" ht="15" hidden="false" customHeight="false" outlineLevel="0" collapsed="false">
      <c r="A131" s="0" t="s">
        <v>436</v>
      </c>
      <c r="B131" s="0" t="s">
        <v>394</v>
      </c>
      <c r="C131" s="0" t="s">
        <v>437</v>
      </c>
      <c r="D131" s="0" t="s">
        <v>461</v>
      </c>
      <c r="E131" s="0" t="s">
        <v>439</v>
      </c>
      <c r="F131" s="0" t="n">
        <v>0.2463</v>
      </c>
    </row>
    <row r="132" customFormat="false" ht="15" hidden="false" customHeight="false" outlineLevel="0" collapsed="false">
      <c r="A132" s="0" t="s">
        <v>436</v>
      </c>
      <c r="B132" s="0" t="s">
        <v>394</v>
      </c>
      <c r="C132" s="0" t="s">
        <v>437</v>
      </c>
      <c r="D132" s="0" t="s">
        <v>462</v>
      </c>
      <c r="E132" s="0" t="s">
        <v>439</v>
      </c>
      <c r="F132" s="0" t="n">
        <v>0.2626</v>
      </c>
    </row>
    <row r="133" customFormat="false" ht="15" hidden="false" customHeight="false" outlineLevel="0" collapsed="false">
      <c r="A133" s="0" t="s">
        <v>436</v>
      </c>
      <c r="B133" s="0" t="s">
        <v>394</v>
      </c>
      <c r="C133" s="0" t="s">
        <v>437</v>
      </c>
      <c r="D133" s="0" t="s">
        <v>463</v>
      </c>
      <c r="E133" s="0" t="s">
        <v>439</v>
      </c>
      <c r="F133" s="0" t="n">
        <v>0.074</v>
      </c>
    </row>
    <row r="134" customFormat="false" ht="15" hidden="false" customHeight="false" outlineLevel="0" collapsed="false">
      <c r="A134" s="0" t="s">
        <v>436</v>
      </c>
      <c r="B134" s="0" t="s">
        <v>394</v>
      </c>
      <c r="C134" s="0" t="s">
        <v>437</v>
      </c>
      <c r="D134" s="0" t="s">
        <v>464</v>
      </c>
      <c r="E134" s="0" t="s">
        <v>439</v>
      </c>
      <c r="F134" s="0" t="n">
        <v>0.1635</v>
      </c>
    </row>
    <row r="135" customFormat="false" ht="15" hidden="false" customHeight="false" outlineLevel="0" collapsed="false">
      <c r="A135" s="0" t="s">
        <v>436</v>
      </c>
      <c r="B135" s="0" t="s">
        <v>394</v>
      </c>
      <c r="C135" s="0" t="s">
        <v>437</v>
      </c>
      <c r="D135" s="0" t="s">
        <v>465</v>
      </c>
      <c r="E135" s="0" t="s">
        <v>439</v>
      </c>
      <c r="F135" s="0" t="n">
        <v>0.1707</v>
      </c>
    </row>
    <row r="136" customFormat="false" ht="15" hidden="false" customHeight="false" outlineLevel="0" collapsed="false">
      <c r="A136" s="0" t="s">
        <v>436</v>
      </c>
      <c r="B136" s="0" t="s">
        <v>394</v>
      </c>
      <c r="C136" s="0" t="s">
        <v>466</v>
      </c>
      <c r="D136" s="0" t="s">
        <v>467</v>
      </c>
      <c r="E136" s="0" t="s">
        <v>439</v>
      </c>
      <c r="F136" s="0" t="n">
        <v>0.1055</v>
      </c>
    </row>
    <row r="137" customFormat="false" ht="15" hidden="false" customHeight="false" outlineLevel="0" collapsed="false">
      <c r="A137" s="0" t="s">
        <v>436</v>
      </c>
      <c r="B137" s="0" t="s">
        <v>394</v>
      </c>
      <c r="C137" s="0" t="s">
        <v>466</v>
      </c>
      <c r="D137" s="0" t="s">
        <v>468</v>
      </c>
      <c r="E137" s="0" t="s">
        <v>439</v>
      </c>
      <c r="F137" s="0" t="n">
        <v>0.2138</v>
      </c>
    </row>
    <row r="138" customFormat="false" ht="15" hidden="false" customHeight="false" outlineLevel="0" collapsed="false">
      <c r="A138" s="0" t="s">
        <v>436</v>
      </c>
      <c r="B138" s="0" t="s">
        <v>394</v>
      </c>
      <c r="C138" s="0" t="s">
        <v>466</v>
      </c>
      <c r="D138" s="0" t="s">
        <v>469</v>
      </c>
      <c r="E138" s="0" t="s">
        <v>439</v>
      </c>
      <c r="F138" s="0" t="n">
        <v>0.1985</v>
      </c>
    </row>
    <row r="139" customFormat="false" ht="15" hidden="false" customHeight="false" outlineLevel="0" collapsed="false">
      <c r="A139" s="0" t="s">
        <v>436</v>
      </c>
      <c r="B139" s="0" t="s">
        <v>394</v>
      </c>
      <c r="C139" s="0" t="s">
        <v>466</v>
      </c>
      <c r="D139" s="0" t="s">
        <v>470</v>
      </c>
      <c r="E139" s="0" t="s">
        <v>439</v>
      </c>
      <c r="F139" s="0" t="n">
        <v>-0.0125</v>
      </c>
    </row>
    <row r="140" customFormat="false" ht="15" hidden="false" customHeight="false" outlineLevel="0" collapsed="false">
      <c r="A140" s="0" t="s">
        <v>436</v>
      </c>
      <c r="B140" s="0" t="s">
        <v>394</v>
      </c>
      <c r="C140" s="0" t="s">
        <v>466</v>
      </c>
      <c r="D140" s="0" t="s">
        <v>471</v>
      </c>
      <c r="E140" s="0" t="s">
        <v>439</v>
      </c>
      <c r="F140" s="0" t="n">
        <v>0.3319</v>
      </c>
    </row>
    <row r="141" customFormat="false" ht="15" hidden="false" customHeight="false" outlineLevel="0" collapsed="false">
      <c r="A141" s="0" t="s">
        <v>436</v>
      </c>
      <c r="B141" s="0" t="s">
        <v>394</v>
      </c>
      <c r="C141" s="0" t="s">
        <v>466</v>
      </c>
      <c r="D141" s="0" t="s">
        <v>472</v>
      </c>
      <c r="E141" s="0" t="s">
        <v>439</v>
      </c>
      <c r="F141" s="0" t="n">
        <v>0.2175</v>
      </c>
    </row>
    <row r="142" customFormat="false" ht="15" hidden="false" customHeight="false" outlineLevel="0" collapsed="false">
      <c r="A142" s="0" t="s">
        <v>436</v>
      </c>
      <c r="B142" s="0" t="s">
        <v>394</v>
      </c>
      <c r="C142" s="0" t="s">
        <v>466</v>
      </c>
      <c r="D142" s="0" t="s">
        <v>473</v>
      </c>
      <c r="E142" s="0" t="s">
        <v>439</v>
      </c>
      <c r="F142" s="0" t="n">
        <v>0.1512</v>
      </c>
    </row>
    <row r="143" customFormat="false" ht="15" hidden="false" customHeight="false" outlineLevel="0" collapsed="false">
      <c r="A143" s="0" t="s">
        <v>436</v>
      </c>
      <c r="B143" s="0" t="s">
        <v>394</v>
      </c>
      <c r="C143" s="0" t="s">
        <v>466</v>
      </c>
      <c r="D143" s="0" t="s">
        <v>474</v>
      </c>
      <c r="E143" s="0" t="s">
        <v>439</v>
      </c>
      <c r="F143" s="0" t="n">
        <v>0.1722</v>
      </c>
    </row>
    <row r="144" customFormat="false" ht="15" hidden="false" customHeight="false" outlineLevel="0" collapsed="false">
      <c r="A144" s="0" t="s">
        <v>436</v>
      </c>
      <c r="B144" s="0" t="s">
        <v>394</v>
      </c>
      <c r="C144" s="0" t="s">
        <v>466</v>
      </c>
      <c r="D144" s="0" t="s">
        <v>475</v>
      </c>
      <c r="E144" s="0" t="s">
        <v>439</v>
      </c>
      <c r="F144" s="0" t="n">
        <v>-0.0355</v>
      </c>
    </row>
    <row r="145" customFormat="false" ht="15" hidden="false" customHeight="false" outlineLevel="0" collapsed="false">
      <c r="A145" s="0" t="s">
        <v>436</v>
      </c>
      <c r="B145" s="0" t="s">
        <v>394</v>
      </c>
      <c r="C145" s="0" t="s">
        <v>466</v>
      </c>
      <c r="D145" s="0" t="s">
        <v>476</v>
      </c>
      <c r="E145" s="0" t="s">
        <v>439</v>
      </c>
      <c r="F145" s="0" t="n">
        <v>-0.0098</v>
      </c>
    </row>
    <row r="146" customFormat="false" ht="15" hidden="false" customHeight="false" outlineLevel="0" collapsed="false">
      <c r="A146" s="0" t="s">
        <v>436</v>
      </c>
      <c r="B146" s="0" t="s">
        <v>394</v>
      </c>
      <c r="C146" s="0" t="s">
        <v>466</v>
      </c>
      <c r="D146" s="0" t="s">
        <v>477</v>
      </c>
      <c r="E146" s="0" t="s">
        <v>439</v>
      </c>
      <c r="F146" s="0" t="n">
        <v>-0.0307</v>
      </c>
    </row>
    <row r="147" customFormat="false" ht="15" hidden="false" customHeight="false" outlineLevel="0" collapsed="false">
      <c r="A147" s="0" t="s">
        <v>478</v>
      </c>
      <c r="B147" s="0" t="s">
        <v>394</v>
      </c>
      <c r="C147" s="0" t="s">
        <v>479</v>
      </c>
      <c r="D147" s="0" t="s">
        <v>443</v>
      </c>
      <c r="E147" s="0" t="s">
        <v>480</v>
      </c>
      <c r="F147" s="0" t="n">
        <v>107.94</v>
      </c>
    </row>
    <row r="148" customFormat="false" ht="15" hidden="false" customHeight="false" outlineLevel="0" collapsed="false">
      <c r="A148" s="0" t="s">
        <v>478</v>
      </c>
      <c r="B148" s="0" t="s">
        <v>394</v>
      </c>
      <c r="C148" s="0" t="s">
        <v>11</v>
      </c>
      <c r="D148" s="0" t="s">
        <v>443</v>
      </c>
      <c r="E148" s="0" t="s">
        <v>480</v>
      </c>
      <c r="F148" s="0" t="n">
        <v>99.84</v>
      </c>
    </row>
    <row r="149" customFormat="false" ht="15" hidden="false" customHeight="false" outlineLevel="0" collapsed="false">
      <c r="A149" s="0" t="s">
        <v>478</v>
      </c>
      <c r="B149" s="0" t="s">
        <v>394</v>
      </c>
      <c r="C149" s="0" t="s">
        <v>479</v>
      </c>
      <c r="D149" s="0" t="s">
        <v>465</v>
      </c>
      <c r="E149" s="0" t="s">
        <v>480</v>
      </c>
      <c r="F149" s="0" t="n">
        <v>74.62</v>
      </c>
    </row>
    <row r="150" customFormat="false" ht="15" hidden="false" customHeight="false" outlineLevel="0" collapsed="false">
      <c r="A150" s="0" t="s">
        <v>478</v>
      </c>
      <c r="B150" s="0" t="s">
        <v>394</v>
      </c>
      <c r="C150" s="0" t="s">
        <v>11</v>
      </c>
      <c r="D150" s="0" t="s">
        <v>465</v>
      </c>
      <c r="E150" s="0" t="s">
        <v>480</v>
      </c>
      <c r="F150" s="0" t="n">
        <v>83.46</v>
      </c>
    </row>
    <row r="151" customFormat="false" ht="15" hidden="false" customHeight="false" outlineLevel="0" collapsed="false">
      <c r="A151" s="0" t="s">
        <v>478</v>
      </c>
      <c r="B151" s="0" t="s">
        <v>394</v>
      </c>
      <c r="C151" s="0" t="s">
        <v>11</v>
      </c>
      <c r="D151" s="0" t="s">
        <v>474</v>
      </c>
      <c r="E151" s="0" t="s">
        <v>480</v>
      </c>
      <c r="F151" s="0" t="n">
        <v>68.06</v>
      </c>
    </row>
    <row r="152" customFormat="false" ht="15" hidden="false" customHeight="false" outlineLevel="0" collapsed="false">
      <c r="A152" s="0" t="s">
        <v>478</v>
      </c>
      <c r="B152" s="0" t="s">
        <v>394</v>
      </c>
      <c r="C152" s="0" t="s">
        <v>479</v>
      </c>
      <c r="D152" s="0" t="s">
        <v>407</v>
      </c>
      <c r="E152" s="0" t="s">
        <v>480</v>
      </c>
      <c r="F152" s="0" t="n">
        <v>85.51</v>
      </c>
    </row>
    <row r="153" customFormat="false" ht="15" hidden="false" customHeight="false" outlineLevel="0" collapsed="false">
      <c r="A153" s="0" t="s">
        <v>478</v>
      </c>
      <c r="B153" s="0" t="s">
        <v>394</v>
      </c>
      <c r="C153" s="0" t="s">
        <v>11</v>
      </c>
      <c r="D153" s="0" t="s">
        <v>407</v>
      </c>
      <c r="E153" s="0" t="s">
        <v>480</v>
      </c>
      <c r="F153" s="0" t="n">
        <v>85.34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2026-10-17T16:41:52Z</dcterms:created>
  <dc:creator>openpyxl</dc:creator>
  <dc:description/>
  <dc:language>en-US</dc:language>
  <cp:lastModifiedBy/>
  <dcterms:modified xsi:type="dcterms:W3CDTF">2026-10-17T16:41:52Z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