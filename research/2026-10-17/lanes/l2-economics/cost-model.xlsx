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Telecaller" sheetId="3" state="visible" r:id="rId3"/>
    <sheet xmlns:r="http://schemas.openxmlformats.org/officeDocument/2006/relationships" name="MonteCarlo" sheetId="4" state="visible" r:id="rId4"/>
    <sheet xmlns:r="http://schemas.openxmlformats.org/officeDocument/2006/relationships" name="Tornado" sheetId="5" state="visible" r:id="rId5"/>
    <sheet xmlns:r="http://schemas.openxmlformats.org/officeDocument/2006/relationships" name="Volume" sheetId="6" state="visible" r:id="rId6"/>
    <sheet xmlns:r="http://schemas.openxmlformats.org/officeDocument/2006/relationships" name="Levers" sheetId="7" state="visible" r:id="rId7"/>
    <sheet xmlns:r="http://schemas.openxmlformats.org/officeDocument/2006/relationships" name="SelfHostBreakeven" sheetId="8" state="visible" r:id="rId8"/>
    <sheet xmlns:r="http://schemas.openxmlformats.org/officeDocument/2006/relationships" name="BuyerOutcome" sheetId="9" state="visible" r:id="rId9"/>
    <sheet xmlns:r="http://schemas.openxmlformats.org/officeDocument/2006/relationships" name="Pri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7F5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164" fontId="0" fillId="0" borderId="0" pivotButton="0" quotePrefix="0" xfId="0"/>
    <xf numFmtId="2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VP l2-economics, round-2 corrected 2026-10-17. HEADLINE = Monte Carlo p50 COGS, INR per connected minute (p10-p90).</t>
        </is>
      </c>
    </row>
    <row r="2">
      <c r="A2" t="inlineStr">
        <is>
          <t>Corrections: NVAIE licence on self-hosted GPUs; commitment tiers step with volume (TTS neural, S1 STT); speaking model gpt-6-sol (not 6.1-sol) in B, C, D, B-HD. FX 95. Round-1 file: cost-model.round1.xlsx.</t>
        </is>
      </c>
    </row>
    <row r="4">
      <c r="A4" s="2" t="inlineStr">
        <is>
          <t>scenario</t>
        </is>
      </c>
      <c r="B4" s="2" t="inlineStr">
        <is>
          <t>monthly connected min</t>
        </is>
      </c>
      <c r="C4" s="2" t="inlineStr">
        <is>
          <t>MC p50 (HEADLINE)</t>
        </is>
      </c>
      <c r="D4" s="2" t="inlineStr">
        <is>
          <t>MC p10</t>
        </is>
      </c>
      <c r="E4" s="2" t="inlineStr">
        <is>
          <t>MC p90</t>
        </is>
      </c>
      <c r="F4" s="2" t="inlineStr">
        <is>
          <t>P(COGS&lt;=2)</t>
        </is>
      </c>
      <c r="G4" s="2" t="inlineStr">
        <is>
          <t>base, all modes (not headline)</t>
        </is>
      </c>
      <c r="H4" s="2" t="inlineStr">
        <is>
          <t>round-1 MC p50</t>
        </is>
      </c>
      <c r="I4" s="2" t="inlineStr">
        <is>
          <t>round-1 base</t>
        </is>
      </c>
      <c r="J4" s="2" t="inlineStr">
        <is>
          <t>price at target GM, MC p50</t>
        </is>
      </c>
    </row>
    <row r="5">
      <c r="A5" t="inlineStr">
        <is>
          <t>A. Managed today (quality bar)</t>
        </is>
      </c>
      <c r="B5" t="n">
        <v>100000</v>
      </c>
      <c r="C5" t="n">
        <v>5.88</v>
      </c>
      <c r="D5" t="n">
        <v>5</v>
      </c>
      <c r="E5" t="n">
        <v>6.96</v>
      </c>
      <c r="F5" t="n">
        <v>0</v>
      </c>
      <c r="G5" t="n">
        <v>4.53</v>
      </c>
      <c r="H5" t="n">
        <v>5.88</v>
      </c>
      <c r="I5" t="n">
        <v>4.53</v>
      </c>
      <c r="J5" t="n">
        <v>14.76</v>
      </c>
    </row>
    <row r="6">
      <c r="A6" t="inlineStr">
        <is>
          <t>A0. Plain cascade reference (S1 STT + 5.6 terra + HD)</t>
        </is>
      </c>
      <c r="B6" t="n">
        <v>100000</v>
      </c>
      <c r="C6" t="n">
        <v>6.3</v>
      </c>
      <c r="D6" t="n">
        <v>5.45</v>
      </c>
      <c r="E6" t="n">
        <v>7.34</v>
      </c>
      <c r="F6" t="n">
        <v>0</v>
      </c>
      <c r="G6" t="n">
        <v>5.26</v>
      </c>
      <c r="H6" t="n">
        <v>6.36</v>
      </c>
      <c r="I6" t="n">
        <v>5.33</v>
      </c>
      <c r="J6" t="n">
        <v>15.81</v>
      </c>
    </row>
    <row r="7">
      <c r="A7" t="inlineStr">
        <is>
          <t>B. Managed optimised</t>
        </is>
      </c>
      <c r="B7" t="n">
        <v>1000000</v>
      </c>
      <c r="C7" t="n">
        <v>3.23</v>
      </c>
      <c r="D7" t="n">
        <v>2.84</v>
      </c>
      <c r="E7" t="n">
        <v>3.7</v>
      </c>
      <c r="F7" t="n">
        <v>0</v>
      </c>
      <c r="G7" t="n">
        <v>2.57</v>
      </c>
      <c r="H7" t="n">
        <v>3.06</v>
      </c>
      <c r="I7" t="n">
        <v>2.39</v>
      </c>
      <c r="J7" t="n">
        <v>8.109999999999999</v>
      </c>
    </row>
    <row r="8">
      <c r="A8" t="inlineStr">
        <is>
          <t>C. Hybrid (self-hosted ASR on T4, managed LLM+TTS)</t>
        </is>
      </c>
      <c r="B8" t="n">
        <v>1000000</v>
      </c>
      <c r="C8" t="n">
        <v>2.65</v>
      </c>
      <c r="D8" t="n">
        <v>2.32</v>
      </c>
      <c r="E8" t="n">
        <v>3.07</v>
      </c>
      <c r="F8" t="n">
        <v>0.002</v>
      </c>
      <c r="G8" t="n">
        <v>2.24</v>
      </c>
      <c r="H8" t="n">
        <v>2.39</v>
      </c>
      <c r="I8" t="n">
        <v>1.97</v>
      </c>
      <c r="J8" t="n">
        <v>6.66</v>
      </c>
    </row>
    <row r="9">
      <c r="A9" t="inlineStr">
        <is>
          <t>D. Self-hosted at scale (ASR+TTS on H100, managed LLM)</t>
        </is>
      </c>
      <c r="B9" t="n">
        <v>5000000</v>
      </c>
      <c r="C9" t="n">
        <v>2.25</v>
      </c>
      <c r="D9" t="n">
        <v>1.94</v>
      </c>
      <c r="E9" t="n">
        <v>2.65</v>
      </c>
      <c r="F9" t="n">
        <v>0.153</v>
      </c>
      <c r="G9" t="n">
        <v>1.85</v>
      </c>
      <c r="H9" t="n">
        <v>2.09</v>
      </c>
      <c r="I9" t="n">
        <v>1.71</v>
      </c>
      <c r="J9" t="n">
        <v>5.66</v>
      </c>
    </row>
    <row r="10">
      <c r="A10" t="inlineStr">
        <is>
          <t>B-luna. Managed optimised + 6-luna speaking model</t>
        </is>
      </c>
      <c r="B10" t="n">
        <v>1000000</v>
      </c>
      <c r="C10" t="n">
        <v>2.15</v>
      </c>
      <c r="D10" t="n">
        <v>1.91</v>
      </c>
      <c r="E10" t="n">
        <v>2.46</v>
      </c>
      <c r="F10" t="n">
        <v>0.227</v>
      </c>
      <c r="G10" t="n">
        <v>1.76</v>
      </c>
      <c r="H10" t="n">
        <v>2.12</v>
      </c>
      <c r="I10" t="n">
        <v>1.69</v>
      </c>
      <c r="J10" t="n">
        <v>5.42</v>
      </c>
    </row>
    <row r="11">
      <c r="A11" t="inlineStr">
        <is>
          <t>B-HD. Managed optimised but DragonHD voice</t>
        </is>
      </c>
      <c r="B11" t="n">
        <v>1000000</v>
      </c>
      <c r="C11" t="n">
        <v>3.6</v>
      </c>
      <c r="D11" t="n">
        <v>3.17</v>
      </c>
      <c r="E11" t="n">
        <v>4.1</v>
      </c>
      <c r="F11" t="n">
        <v>0</v>
      </c>
      <c r="G11" t="n">
        <v>2.88</v>
      </c>
      <c r="H11" t="n">
        <v>3.46</v>
      </c>
      <c r="I11" t="n">
        <v>2.77</v>
      </c>
      <c r="J11" t="n">
        <v>9.01</v>
      </c>
    </row>
    <row r="12">
      <c r="A12" t="inlineStr">
        <is>
          <t>D-lite. Self-hosted at scale + 6-luna speaking model</t>
        </is>
      </c>
      <c r="B12" t="n">
        <v>5000000</v>
      </c>
      <c r="C12" t="n">
        <v>1.19</v>
      </c>
      <c r="D12" t="n">
        <v>1.07</v>
      </c>
      <c r="E12" t="n">
        <v>1.33</v>
      </c>
      <c r="F12" t="n">
        <v>1</v>
      </c>
      <c r="G12" t="n">
        <v>1.04</v>
      </c>
      <c r="H12" t="n">
        <v>1.16</v>
      </c>
      <c r="I12" t="n">
        <v>1.01</v>
      </c>
      <c r="J12" t="n">
        <v>2.98</v>
      </c>
    </row>
    <row r="14">
      <c r="A14" s="1" t="inlineStr">
        <is>
          <t>Attribution (cumulative): base / MC p50 per scenario as each fix is switched on</t>
        </is>
      </c>
    </row>
    <row r="15">
      <c r="A15" t="inlineStr">
        <is>
          <t>step</t>
        </is>
      </c>
      <c r="B15" t="inlineStr">
        <is>
          <t>A. Managed today (quality bar)</t>
        </is>
      </c>
      <c r="C15" t="inlineStr">
        <is>
          <t>A0. Plain cascade reference (S1 STT + 5.</t>
        </is>
      </c>
      <c r="D15" t="inlineStr">
        <is>
          <t>B. Managed optimised</t>
        </is>
      </c>
      <c r="E15" t="inlineStr">
        <is>
          <t>C. Hybrid (self-hosted ASR on T4, manage</t>
        </is>
      </c>
      <c r="F15" t="inlineStr">
        <is>
          <t>D. Self-hosted at scale (ASR+TTS on H100</t>
        </is>
      </c>
      <c r="G15" t="inlineStr">
        <is>
          <t>B-luna. Managed optimised + 6-luna speak</t>
        </is>
      </c>
      <c r="H15" t="inlineStr">
        <is>
          <t>B-HD. Managed optimised but DragonHD voi</t>
        </is>
      </c>
      <c r="I15" t="inlineStr">
        <is>
          <t>D-lite. Self-hosted at scale + 6-luna sp</t>
        </is>
      </c>
    </row>
    <row r="16">
      <c r="A16" t="inlineStr">
        <is>
          <t>round 1</t>
        </is>
      </c>
      <c r="B16" t="inlineStr">
        <is>
          <t>4.53 / 5.88</t>
        </is>
      </c>
      <c r="C16" t="inlineStr">
        <is>
          <t>5.33 / 6.36</t>
        </is>
      </c>
      <c r="D16" t="inlineStr">
        <is>
          <t>2.39 / 3.06</t>
        </is>
      </c>
      <c r="E16" t="inlineStr">
        <is>
          <t>1.97 / 2.39</t>
        </is>
      </c>
      <c r="F16" t="inlineStr">
        <is>
          <t>1.71 / 2.09</t>
        </is>
      </c>
      <c r="G16" t="inlineStr">
        <is>
          <t>1.69 / 2.12</t>
        </is>
      </c>
      <c r="H16" t="inlineStr">
        <is>
          <t>2.77 / 3.46</t>
        </is>
      </c>
      <c r="I16" t="inlineStr">
        <is>
          <t>1.01 / 1.16</t>
        </is>
      </c>
    </row>
    <row r="17">
      <c r="A17" t="inlineStr">
        <is>
          <t>+ NVAIE licence</t>
        </is>
      </c>
      <c r="B17" t="inlineStr">
        <is>
          <t>4.53 / 5.88</t>
        </is>
      </c>
      <c r="C17" t="inlineStr">
        <is>
          <t>5.33 / 6.36</t>
        </is>
      </c>
      <c r="D17" t="inlineStr">
        <is>
          <t>2.39 / 3.06</t>
        </is>
      </c>
      <c r="E17" t="inlineStr">
        <is>
          <t>2.06 / 2.48</t>
        </is>
      </c>
      <c r="F17" t="inlineStr">
        <is>
          <t>1.74 / 2.11</t>
        </is>
      </c>
      <c r="G17" t="inlineStr">
        <is>
          <t>1.69 / 2.12</t>
        </is>
      </c>
      <c r="H17" t="inlineStr">
        <is>
          <t>2.77 / 3.46</t>
        </is>
      </c>
      <c r="I17" t="inlineStr">
        <is>
          <t>1.04 / 1.19</t>
        </is>
      </c>
    </row>
    <row r="18">
      <c r="A18" t="inlineStr">
        <is>
          <t>+ stepped commitment tiers</t>
        </is>
      </c>
      <c r="B18" t="inlineStr">
        <is>
          <t>4.53 / 5.88</t>
        </is>
      </c>
      <c r="C18" t="inlineStr">
        <is>
          <t>5.26 / 6.30</t>
        </is>
      </c>
      <c r="D18" t="inlineStr">
        <is>
          <t>2.45 / 3.09</t>
        </is>
      </c>
      <c r="E18" t="inlineStr">
        <is>
          <t>2.12 / 2.51</t>
        </is>
      </c>
      <c r="F18" t="inlineStr">
        <is>
          <t>1.74 / 2.11</t>
        </is>
      </c>
      <c r="G18" t="inlineStr">
        <is>
          <t>1.76 / 2.15</t>
        </is>
      </c>
      <c r="H18" t="inlineStr">
        <is>
          <t>2.77 / 3.46</t>
        </is>
      </c>
      <c r="I18" t="inlineStr">
        <is>
          <t>1.04 / 1.19</t>
        </is>
      </c>
    </row>
    <row r="19">
      <c r="A19" t="inlineStr">
        <is>
          <t>+ 6-sol speaking model (= round 2)</t>
        </is>
      </c>
      <c r="B19" t="inlineStr">
        <is>
          <t>4.53 / 5.88</t>
        </is>
      </c>
      <c r="C19" t="inlineStr">
        <is>
          <t>5.26 / 6.30</t>
        </is>
      </c>
      <c r="D19" t="inlineStr">
        <is>
          <t>2.57 / 3.23</t>
        </is>
      </c>
      <c r="E19" t="inlineStr">
        <is>
          <t>2.24 / 2.65</t>
        </is>
      </c>
      <c r="F19" t="inlineStr">
        <is>
          <t>1.85 / 2.25</t>
        </is>
      </c>
      <c r="G19" t="inlineStr">
        <is>
          <t>1.76 / 2.15</t>
        </is>
      </c>
      <c r="H19" t="inlineStr">
        <is>
          <t>2.88 / 3.60</t>
        </is>
      </c>
      <c r="I19" t="inlineStr">
        <is>
          <t>1.04 / 1.19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40" customWidth="1" min="10" max="10"/>
  </cols>
  <sheetData>
    <row r="1">
      <c r="A1" s="1" t="inlineStr">
        <is>
          <t>VP l2-economics: INR per CONNECTED minute at BASE inputs (all modes). Yellow cells are inputs; everything else is a formula. HEADLINE = Monte Carlo p50 (rows at the bottom and sheet Headline).</t>
        </is>
      </c>
    </row>
    <row r="2">
      <c r="A2" t="inlineStr">
        <is>
          <t>Prices from Azure Retail Prices API and vendor pages read 2026-10-17; see sheet Prices and report.md. Round-2 corrections 2026-10-17: NVAIE licence, stepped commitment tiers, 6-sol speaking model (see sheet Headline).</t>
        </is>
      </c>
    </row>
    <row r="4">
      <c r="A4" s="1" t="inlineStr">
        <is>
          <t>Input / line</t>
        </is>
      </c>
      <c r="B4" s="3" t="inlineStr">
        <is>
          <t>A. Managed today (quality bar)</t>
        </is>
      </c>
      <c r="C4" s="3" t="inlineStr">
        <is>
          <t>A0. Plain cascade reference (S1 STT + 5.6 terra + HD)</t>
        </is>
      </c>
      <c r="D4" s="3" t="inlineStr">
        <is>
          <t>B. Managed optimised</t>
        </is>
      </c>
      <c r="E4" s="3" t="inlineStr">
        <is>
          <t>C. Hybrid (self-hosted ASR on T4, managed LLM+TTS)</t>
        </is>
      </c>
      <c r="F4" s="3" t="inlineStr">
        <is>
          <t>D. Self-hosted at scale (ASR+TTS on H100, managed LLM)</t>
        </is>
      </c>
      <c r="G4" s="3" t="inlineStr">
        <is>
          <t>B-luna. Managed optimised + 6-luna speaking model</t>
        </is>
      </c>
      <c r="H4" s="3" t="inlineStr">
        <is>
          <t>B-HD. Managed optimised but DragonHD voice</t>
        </is>
      </c>
      <c r="I4" s="3" t="inlineStr">
        <is>
          <t>D-lite. Self-hosted at scale + 6-luna speaking model</t>
        </is>
      </c>
      <c r="J4" s="1" t="inlineStr">
        <is>
          <t>unit / note</t>
        </is>
      </c>
    </row>
    <row r="5">
      <c r="A5" t="inlineStr">
        <is>
          <t>Connected minutes per month</t>
        </is>
      </c>
      <c r="B5" s="4" t="n">
        <v>100000</v>
      </c>
      <c r="C5" s="4" t="n">
        <v>100000</v>
      </c>
      <c r="D5" s="4" t="n">
        <v>1000000</v>
      </c>
      <c r="E5" s="4" t="n">
        <v>1000000</v>
      </c>
      <c r="F5" s="4" t="n">
        <v>5000000</v>
      </c>
      <c r="G5" s="4" t="n">
        <v>1000000</v>
      </c>
      <c r="H5" s="4" t="n">
        <v>1000000</v>
      </c>
      <c r="I5" s="4" t="n">
        <v>5000000</v>
      </c>
      <c r="J5" t="inlineStr">
        <is>
          <t>min</t>
        </is>
      </c>
    </row>
    <row r="6">
      <c r="A6" t="inlineStr">
        <is>
          <t>FX INR per USD</t>
        </is>
      </c>
      <c r="B6" s="4" t="n">
        <v>95</v>
      </c>
      <c r="C6" s="4" t="n">
        <v>95</v>
      </c>
      <c r="D6" s="4" t="n">
        <v>95</v>
      </c>
      <c r="E6" s="4" t="n">
        <v>95</v>
      </c>
      <c r="F6" s="4" t="n">
        <v>95</v>
      </c>
      <c r="G6" s="4" t="n">
        <v>95</v>
      </c>
      <c r="H6" s="4" t="n">
        <v>95</v>
      </c>
      <c r="I6" s="4" t="n">
        <v>95</v>
      </c>
      <c r="J6" t="inlineStr">
        <is>
          <t>3 feeds 2026-10-16/17</t>
        </is>
      </c>
    </row>
    <row r="7">
      <c r="A7" t="inlineStr">
        <is>
          <t>Average connected call length</t>
        </is>
      </c>
      <c r="B7" s="4" t="n">
        <v>2</v>
      </c>
      <c r="C7" s="4" t="n">
        <v>2</v>
      </c>
      <c r="D7" s="4" t="n">
        <v>2</v>
      </c>
      <c r="E7" s="4" t="n">
        <v>2</v>
      </c>
      <c r="F7" s="4" t="n">
        <v>2</v>
      </c>
      <c r="G7" s="4" t="n">
        <v>2</v>
      </c>
      <c r="H7" s="4" t="n">
        <v>2</v>
      </c>
      <c r="I7" s="4" t="n">
        <v>2</v>
      </c>
      <c r="J7" t="inlineStr">
        <is>
          <t>min</t>
        </is>
      </c>
    </row>
    <row r="8">
      <c r="A8" t="inlineStr">
        <is>
          <t>Telephony INR per min (per-minute plans)</t>
        </is>
      </c>
      <c r="B8" s="4" t="n">
        <v>0.38</v>
      </c>
      <c r="C8" s="4" t="n">
        <v>0.38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t="inlineStr">
        <is>
          <t>Plivo IN domestic</t>
        </is>
      </c>
    </row>
    <row r="9">
      <c r="A9" t="inlineStr">
        <is>
          <t>Pulse seconds</t>
        </is>
      </c>
      <c r="B9" s="4" t="n">
        <v>30</v>
      </c>
      <c r="C9" s="4" t="n">
        <v>30</v>
      </c>
      <c r="D9" s="4" t="n">
        <v>1</v>
      </c>
      <c r="E9" s="4" t="n">
        <v>1</v>
      </c>
      <c r="F9" s="4" t="n">
        <v>1</v>
      </c>
      <c r="G9" s="4" t="n">
        <v>1</v>
      </c>
      <c r="H9" s="4" t="n">
        <v>1</v>
      </c>
      <c r="I9" s="4" t="n">
        <v>1</v>
      </c>
      <c r="J9" t="inlineStr">
        <is>
          <t>s</t>
        </is>
      </c>
    </row>
    <row r="10">
      <c r="A10" t="inlineStr">
        <is>
          <t>Number rental INR/month</t>
        </is>
      </c>
      <c r="B10" s="4" t="n">
        <v>200</v>
      </c>
      <c r="C10" s="4" t="n">
        <v>200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t="inlineStr"/>
    </row>
    <row r="11">
      <c r="A11" t="inlineStr">
        <is>
          <t>Minutes per number per month</t>
        </is>
      </c>
      <c r="B11" s="4" t="n">
        <v>4000</v>
      </c>
      <c r="C11" s="4" t="n">
        <v>4000</v>
      </c>
      <c r="D11" s="4" t="n">
        <v>4000</v>
      </c>
      <c r="E11" s="4" t="n">
        <v>4000</v>
      </c>
      <c r="F11" s="4" t="n">
        <v>4000</v>
      </c>
      <c r="G11" s="4" t="n">
        <v>4000</v>
      </c>
      <c r="H11" s="4" t="n">
        <v>4000</v>
      </c>
      <c r="I11" s="4" t="n">
        <v>4000</v>
      </c>
      <c r="J11" t="inlineStr"/>
    </row>
    <row r="12">
      <c r="A12" t="inlineStr">
        <is>
          <t>Unlimited plan INR per concurrency per month</t>
        </is>
      </c>
      <c r="B12" s="4" t="n">
        <v>0</v>
      </c>
      <c r="C12" s="4" t="n">
        <v>0</v>
      </c>
      <c r="D12" s="4" t="n">
        <v>1100</v>
      </c>
      <c r="E12" s="4" t="n">
        <v>1100</v>
      </c>
      <c r="F12" s="4" t="n">
        <v>1100</v>
      </c>
      <c r="G12" s="4" t="n">
        <v>1100</v>
      </c>
      <c r="H12" s="4" t="n">
        <v>1100</v>
      </c>
      <c r="I12" s="4" t="n">
        <v>1100</v>
      </c>
      <c r="J12" t="inlineStr">
        <is>
          <t>Tata Smartflo Voice Streaming Unlimited</t>
        </is>
      </c>
    </row>
    <row r="13">
      <c r="A13" t="inlineStr">
        <is>
          <t>FUP minutes per concurrency x share used</t>
        </is>
      </c>
      <c r="B13" s="4" t="n">
        <v>0</v>
      </c>
      <c r="C13" s="4" t="n">
        <v>0</v>
      </c>
      <c r="D13" s="4" t="n">
        <v>4000</v>
      </c>
      <c r="E13" s="4" t="n">
        <v>4000</v>
      </c>
      <c r="F13" s="4" t="n">
        <v>4000</v>
      </c>
      <c r="G13" s="4" t="n">
        <v>4000</v>
      </c>
      <c r="H13" s="4" t="n">
        <v>4000</v>
      </c>
      <c r="I13" s="4" t="n">
        <v>4000</v>
      </c>
      <c r="J13" t="inlineStr"/>
    </row>
    <row r="14">
      <c r="A14" t="inlineStr">
        <is>
          <t>ASR USD per streamed min (S1 style; effective stepped-tier rate at this volume)</t>
        </is>
      </c>
      <c r="B14" s="4" t="n">
        <v>0</v>
      </c>
      <c r="C14" s="4" t="n">
        <v>0.016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t="inlineStr">
        <is>
          <t>round 2: cheapest of PAYG $1/h and 2K/10K/50K/100K-h commitments</t>
        </is>
      </c>
    </row>
    <row r="15">
      <c r="A15" t="inlineStr">
        <is>
          <t>Voice Live speech-in USD per 1K tokens</t>
        </is>
      </c>
      <c r="B15" s="4" t="n">
        <v>0.015</v>
      </c>
      <c r="C15" s="4" t="n">
        <v>0</v>
      </c>
      <c r="D15" s="4" t="n">
        <v>0.0125</v>
      </c>
      <c r="E15" s="4" t="n">
        <v>0</v>
      </c>
      <c r="F15" s="4" t="n">
        <v>0</v>
      </c>
      <c r="G15" s="4" t="n">
        <v>0.0125</v>
      </c>
      <c r="H15" s="4" t="n">
        <v>0.0125</v>
      </c>
      <c r="I15" s="4" t="n">
        <v>0</v>
      </c>
      <c r="J15" t="inlineStr"/>
    </row>
    <row r="16">
      <c r="A16" t="inlineStr">
        <is>
          <t>Voice Live audio tokens per second</t>
        </is>
      </c>
      <c r="B16" s="4" t="n">
        <v>10</v>
      </c>
      <c r="C16" s="4" t="n">
        <v>10</v>
      </c>
      <c r="D16" s="4" t="n">
        <v>10</v>
      </c>
      <c r="E16" s="4" t="n">
        <v>10</v>
      </c>
      <c r="F16" s="4" t="n">
        <v>10</v>
      </c>
      <c r="G16" s="4" t="n">
        <v>10</v>
      </c>
      <c r="H16" s="4" t="n">
        <v>10</v>
      </c>
      <c r="I16" s="4" t="n">
        <v>10</v>
      </c>
      <c r="J16" t="inlineStr">
        <is>
          <t>harvest measured ~9.3</t>
        </is>
      </c>
    </row>
    <row r="17">
      <c r="A17" t="inlineStr">
        <is>
          <t>ASR stream factor (stereo ref billed?)</t>
        </is>
      </c>
      <c r="B17" s="4" t="n">
        <v>1</v>
      </c>
      <c r="C17" s="4" t="n">
        <v>1</v>
      </c>
      <c r="D17" s="4" t="n">
        <v>1</v>
      </c>
      <c r="E17" s="4" t="n">
        <v>1</v>
      </c>
      <c r="F17" s="4" t="n">
        <v>1</v>
      </c>
      <c r="G17" s="4" t="n">
        <v>1</v>
      </c>
      <c r="H17" s="4" t="n">
        <v>1</v>
      </c>
      <c r="I17" s="4" t="n">
        <v>1</v>
      </c>
      <c r="J17" t="inlineStr">
        <is>
          <t>1 = not billed</t>
        </is>
      </c>
    </row>
    <row r="18">
      <c r="A18" t="inlineStr">
        <is>
          <t>Self-host ASR GPU USD/hr</t>
        </is>
      </c>
      <c r="B18" s="4" t="n">
        <v>0</v>
      </c>
      <c r="C18" s="4" t="n">
        <v>0</v>
      </c>
      <c r="D18" s="4" t="n">
        <v>0</v>
      </c>
      <c r="E18" s="4" t="n">
        <v>0.2198630136986301</v>
      </c>
      <c r="F18" s="4" t="n">
        <v>5.374581430745814</v>
      </c>
      <c r="G18" s="4" t="n">
        <v>0</v>
      </c>
      <c r="H18" s="4" t="n">
        <v>0</v>
      </c>
      <c r="I18" s="4" t="n">
        <v>5.374581430745814</v>
      </c>
      <c r="J18" t="inlineStr">
        <is>
          <t>3-yr RI</t>
        </is>
      </c>
    </row>
    <row r="19">
      <c r="A19" t="inlineStr">
        <is>
          <t>Self-host ASR streams per GPU (vendor)</t>
        </is>
      </c>
      <c r="B19" s="4" t="n">
        <v>0</v>
      </c>
      <c r="C19" s="4" t="n">
        <v>0</v>
      </c>
      <c r="D19" s="4" t="n">
        <v>0</v>
      </c>
      <c r="E19" s="4" t="n">
        <v>50</v>
      </c>
      <c r="F19" s="4" t="n">
        <v>366</v>
      </c>
      <c r="G19" s="4" t="n">
        <v>0</v>
      </c>
      <c r="H19" s="4" t="n">
        <v>0</v>
      </c>
      <c r="I19" s="4" t="n">
        <v>366</v>
      </c>
      <c r="J19" t="inlineStr">
        <is>
          <t>Riva 2.15 Hindi Conformer</t>
        </is>
      </c>
    </row>
    <row r="20">
      <c r="A20" t="inlineStr">
        <is>
          <t>Self-host TTS GPU USD/hr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5.374581430745814</v>
      </c>
      <c r="G20" s="4" t="n">
        <v>0</v>
      </c>
      <c r="H20" s="4" t="n">
        <v>0</v>
      </c>
      <c r="I20" s="4" t="n">
        <v>5.374581430745814</v>
      </c>
      <c r="J20" t="inlineStr">
        <is>
          <t>3-yr RI</t>
        </is>
      </c>
    </row>
    <row r="21">
      <c r="A21" t="inlineStr">
        <is>
          <t>Self-host TTS calls per GPU (derived)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580</v>
      </c>
      <c r="G21" s="4" t="n">
        <v>0</v>
      </c>
      <c r="H21" s="4" t="n">
        <v>0</v>
      </c>
      <c r="I21" s="4" t="n">
        <v>580</v>
      </c>
      <c r="J21" t="inlineStr">
        <is>
          <t>Magpie NIM H100 64 streams RTFX 291</t>
        </is>
      </c>
    </row>
    <row r="22">
      <c r="A22" t="inlineStr">
        <is>
          <t>NVIDIA AI Enterprise licence USD per GPU-hour</t>
        </is>
      </c>
      <c r="B22" s="4" t="n">
        <v>0</v>
      </c>
      <c r="C22" s="4" t="n">
        <v>0</v>
      </c>
      <c r="D22" s="4" t="n">
        <v>0</v>
      </c>
      <c r="E22" s="4" t="n">
        <v>0.5136986301369864</v>
      </c>
      <c r="F22" s="4" t="n">
        <v>0.5136986301369864</v>
      </c>
      <c r="G22" s="4" t="n">
        <v>0</v>
      </c>
      <c r="H22" s="4" t="n">
        <v>0</v>
      </c>
      <c r="I22" s="4" t="n">
        <v>0.5136986301369864</v>
      </c>
      <c r="J22" t="inlineStr">
        <is>
          <t>round 2: $4,500/GPU-year; Riva/NIM production licence</t>
        </is>
      </c>
    </row>
    <row r="23">
      <c r="A23" t="inlineStr">
        <is>
          <t>GPU derate vs vendor benchmark</t>
        </is>
      </c>
      <c r="B23" s="4" t="n">
        <v>0</v>
      </c>
      <c r="C23" s="4" t="n">
        <v>0</v>
      </c>
      <c r="D23" s="4" t="n">
        <v>0</v>
      </c>
      <c r="E23" s="4" t="n">
        <v>0.5</v>
      </c>
      <c r="F23" s="4" t="n">
        <v>0.5</v>
      </c>
      <c r="G23" s="4" t="n">
        <v>0</v>
      </c>
      <c r="H23" s="4" t="n">
        <v>0</v>
      </c>
      <c r="I23" s="4" t="n">
        <v>0.5</v>
      </c>
      <c r="J23" t="inlineStr"/>
    </row>
    <row r="24">
      <c r="A24" t="inlineStr">
        <is>
          <t>GPU average utilisation</t>
        </is>
      </c>
      <c r="B24" s="4" t="n">
        <v>0</v>
      </c>
      <c r="C24" s="4" t="n">
        <v>0</v>
      </c>
      <c r="D24" s="4" t="n">
        <v>0</v>
      </c>
      <c r="E24" s="4" t="n">
        <v>0.35</v>
      </c>
      <c r="F24" s="4" t="n">
        <v>0.35</v>
      </c>
      <c r="G24" s="4" t="n">
        <v>0</v>
      </c>
      <c r="H24" s="4" t="n">
        <v>0</v>
      </c>
      <c r="I24" s="4" t="n">
        <v>0.35</v>
      </c>
      <c r="J24" t="inlineStr">
        <is>
          <t>diurnal + N+1</t>
        </is>
      </c>
    </row>
    <row r="25">
      <c r="A25" t="inlineStr">
        <is>
          <t>Minimum GPUs per role</t>
        </is>
      </c>
      <c r="B25" s="4" t="n">
        <v>0</v>
      </c>
      <c r="C25" s="4" t="n">
        <v>0</v>
      </c>
      <c r="D25" s="4" t="n">
        <v>0</v>
      </c>
      <c r="E25" s="4" t="n">
        <v>2</v>
      </c>
      <c r="F25" s="4" t="n">
        <v>2</v>
      </c>
      <c r="G25" s="4" t="n">
        <v>0</v>
      </c>
      <c r="H25" s="4" t="n">
        <v>0</v>
      </c>
      <c r="I25" s="4" t="n">
        <v>2</v>
      </c>
      <c r="J25" t="inlineStr">
        <is>
          <t>N+1</t>
        </is>
      </c>
    </row>
    <row r="26">
      <c r="A26" t="inlineStr">
        <is>
          <t>GPU ops staff INR/month</t>
        </is>
      </c>
      <c r="B26" s="4" t="n">
        <v>0</v>
      </c>
      <c r="C26" s="4" t="n">
        <v>0</v>
      </c>
      <c r="D26" s="4" t="n">
        <v>0</v>
      </c>
      <c r="E26" s="4" t="n">
        <v>250000</v>
      </c>
      <c r="F26" s="4" t="n">
        <v>500000</v>
      </c>
      <c r="G26" s="4" t="n">
        <v>0</v>
      </c>
      <c r="H26" s="4" t="n">
        <v>0</v>
      </c>
      <c r="I26" s="4" t="n">
        <v>500000</v>
      </c>
      <c r="J26" t="inlineStr"/>
    </row>
    <row r="27">
      <c r="A27" t="inlineStr">
        <is>
          <t>LLM input USD/1M</t>
        </is>
      </c>
      <c r="B27" s="4" t="n">
        <v>2</v>
      </c>
      <c r="C27" s="4" t="n">
        <v>2</v>
      </c>
      <c r="D27" s="4" t="n">
        <v>2</v>
      </c>
      <c r="E27" s="4" t="n">
        <v>2</v>
      </c>
      <c r="F27" s="4" t="n">
        <v>2</v>
      </c>
      <c r="G27" s="4" t="n">
        <v>0.1</v>
      </c>
      <c r="H27" s="4" t="n">
        <v>2</v>
      </c>
      <c r="I27" s="4" t="n">
        <v>0.1</v>
      </c>
      <c r="J27" t="inlineStr"/>
    </row>
    <row r="28">
      <c r="A28" t="inlineStr">
        <is>
          <t>LLM cached input USD/1M</t>
        </is>
      </c>
      <c r="B28" s="4" t="n">
        <v>0.2</v>
      </c>
      <c r="C28" s="4" t="n">
        <v>0.2</v>
      </c>
      <c r="D28" s="4" t="n">
        <v>0.2</v>
      </c>
      <c r="E28" s="4" t="n">
        <v>0.2</v>
      </c>
      <c r="F28" s="4" t="n">
        <v>0.2</v>
      </c>
      <c r="G28" s="4" t="n">
        <v>0.01</v>
      </c>
      <c r="H28" s="4" t="n">
        <v>0.2</v>
      </c>
      <c r="I28" s="4" t="n">
        <v>0.01</v>
      </c>
      <c r="J28" t="inlineStr"/>
    </row>
    <row r="29">
      <c r="A29" t="inlineStr">
        <is>
          <t>LLM cache-write USD/1M</t>
        </is>
      </c>
      <c r="B29" s="4" t="n">
        <v>2.5</v>
      </c>
      <c r="C29" s="4" t="n">
        <v>2.5</v>
      </c>
      <c r="D29" s="4" t="n">
        <v>2.5</v>
      </c>
      <c r="E29" s="4" t="n">
        <v>2.5</v>
      </c>
      <c r="F29" s="4" t="n">
        <v>2.5</v>
      </c>
      <c r="G29" s="4" t="n">
        <v>0.125</v>
      </c>
      <c r="H29" s="4" t="n">
        <v>2.5</v>
      </c>
      <c r="I29" s="4" t="n">
        <v>0.125</v>
      </c>
      <c r="J29" t="inlineStr"/>
    </row>
    <row r="30">
      <c r="A30" t="inlineStr">
        <is>
          <t>LLM output USD/1M</t>
        </is>
      </c>
      <c r="B30" s="4" t="n">
        <v>10</v>
      </c>
      <c r="C30" s="4" t="n">
        <v>12</v>
      </c>
      <c r="D30" s="4" t="n">
        <v>10</v>
      </c>
      <c r="E30" s="4" t="n">
        <v>10</v>
      </c>
      <c r="F30" s="4" t="n">
        <v>10</v>
      </c>
      <c r="G30" s="4" t="n">
        <v>0.5</v>
      </c>
      <c r="H30" s="4" t="n">
        <v>10</v>
      </c>
      <c r="I30" s="4" t="n">
        <v>0.5</v>
      </c>
      <c r="J30" t="inlineStr"/>
    </row>
    <row r="31">
      <c r="A31" t="inlineStr">
        <is>
          <t>Agent turns per minute</t>
        </is>
      </c>
      <c r="B31" s="4" t="n">
        <v>4</v>
      </c>
      <c r="C31" s="4" t="n">
        <v>4</v>
      </c>
      <c r="D31" s="4" t="n">
        <v>4</v>
      </c>
      <c r="E31" s="4" t="n">
        <v>4</v>
      </c>
      <c r="F31" s="4" t="n">
        <v>4</v>
      </c>
      <c r="G31" s="4" t="n">
        <v>4</v>
      </c>
      <c r="H31" s="4" t="n">
        <v>4</v>
      </c>
      <c r="I31" s="4" t="n">
        <v>4</v>
      </c>
      <c r="J31" t="inlineStr"/>
    </row>
    <row r="32">
      <c r="A32" t="inlineStr">
        <is>
          <t>LLM call multiplier (prefetch/hedge)</t>
        </is>
      </c>
      <c r="B32" s="4" t="n">
        <v>1.2</v>
      </c>
      <c r="C32" s="4" t="n">
        <v>1.2</v>
      </c>
      <c r="D32" s="4" t="n">
        <v>1.2</v>
      </c>
      <c r="E32" s="4" t="n">
        <v>1.2</v>
      </c>
      <c r="F32" s="4" t="n">
        <v>1.2</v>
      </c>
      <c r="G32" s="4" t="n">
        <v>1.2</v>
      </c>
      <c r="H32" s="4" t="n">
        <v>1.2</v>
      </c>
      <c r="I32" s="4" t="n">
        <v>1.2</v>
      </c>
      <c r="J32" t="inlineStr"/>
    </row>
    <row r="33">
      <c r="A33" t="inlineStr">
        <is>
          <t>System prompt tokens</t>
        </is>
      </c>
      <c r="B33" s="4" t="n">
        <v>3000</v>
      </c>
      <c r="C33" s="4" t="n">
        <v>3000</v>
      </c>
      <c r="D33" s="4" t="n">
        <v>2000</v>
      </c>
      <c r="E33" s="4" t="n">
        <v>2000</v>
      </c>
      <c r="F33" s="4" t="n">
        <v>2000</v>
      </c>
      <c r="G33" s="4" t="n">
        <v>2000</v>
      </c>
      <c r="H33" s="4" t="n">
        <v>2000</v>
      </c>
      <c r="I33" s="4" t="n">
        <v>2000</v>
      </c>
      <c r="J33" t="inlineStr"/>
    </row>
    <row r="34">
      <c r="A34" t="inlineStr">
        <is>
          <t>History tokens</t>
        </is>
      </c>
      <c r="B34" s="4" t="n">
        <v>400</v>
      </c>
      <c r="C34" s="4" t="n">
        <v>400</v>
      </c>
      <c r="D34" s="4" t="n">
        <v>400</v>
      </c>
      <c r="E34" s="4" t="n">
        <v>400</v>
      </c>
      <c r="F34" s="4" t="n">
        <v>400</v>
      </c>
      <c r="G34" s="4" t="n">
        <v>400</v>
      </c>
      <c r="H34" s="4" t="n">
        <v>400</v>
      </c>
      <c r="I34" s="4" t="n">
        <v>400</v>
      </c>
      <c r="J34" t="inlineStr"/>
    </row>
    <row r="35">
      <c r="A35" t="inlineStr">
        <is>
          <t>Dynamic context tokens</t>
        </is>
      </c>
      <c r="B35" s="4" t="n">
        <v>300</v>
      </c>
      <c r="C35" s="4" t="n">
        <v>300</v>
      </c>
      <c r="D35" s="4" t="n">
        <v>300</v>
      </c>
      <c r="E35" s="4" t="n">
        <v>300</v>
      </c>
      <c r="F35" s="4" t="n">
        <v>300</v>
      </c>
      <c r="G35" s="4" t="n">
        <v>300</v>
      </c>
      <c r="H35" s="4" t="n">
        <v>300</v>
      </c>
      <c r="I35" s="4" t="n">
        <v>300</v>
      </c>
      <c r="J35" t="inlineStr"/>
    </row>
    <row r="36">
      <c r="A36" t="inlineStr">
        <is>
          <t>Prompt-cache hit share</t>
        </is>
      </c>
      <c r="B36" s="4" t="n">
        <v>0.85</v>
      </c>
      <c r="C36" s="4" t="n">
        <v>0.85</v>
      </c>
      <c r="D36" s="4" t="n">
        <v>0.9</v>
      </c>
      <c r="E36" s="4" t="n">
        <v>0.9</v>
      </c>
      <c r="F36" s="4" t="n">
        <v>0.9</v>
      </c>
      <c r="G36" s="4" t="n">
        <v>0.9</v>
      </c>
      <c r="H36" s="4" t="n">
        <v>0.9</v>
      </c>
      <c r="I36" s="4" t="n">
        <v>0.9</v>
      </c>
      <c r="J36" t="inlineStr"/>
    </row>
    <row r="37">
      <c r="A37" t="inlineStr">
        <is>
          <t>Output tokens per turn</t>
        </is>
      </c>
      <c r="B37" s="4" t="n">
        <v>70</v>
      </c>
      <c r="C37" s="4" t="n">
        <v>70</v>
      </c>
      <c r="D37" s="4" t="n">
        <v>70</v>
      </c>
      <c r="E37" s="4" t="n">
        <v>70</v>
      </c>
      <c r="F37" s="4" t="n">
        <v>70</v>
      </c>
      <c r="G37" s="4" t="n">
        <v>70</v>
      </c>
      <c r="H37" s="4" t="n">
        <v>70</v>
      </c>
      <c r="I37" s="4" t="n">
        <v>70</v>
      </c>
      <c r="J37" t="inlineStr">
        <is>
          <t>o200k: 1.41 tok/word Hinglish (measured)</t>
        </is>
      </c>
    </row>
    <row r="38">
      <c r="A38" t="inlineStr">
        <is>
          <t>Guard tokens per turn (6-luna)</t>
        </is>
      </c>
      <c r="B38" s="4" t="n">
        <v>1500</v>
      </c>
      <c r="C38" s="4" t="n">
        <v>1500</v>
      </c>
      <c r="D38" s="4" t="n">
        <v>1500</v>
      </c>
      <c r="E38" s="4" t="n">
        <v>1500</v>
      </c>
      <c r="F38" s="4" t="n">
        <v>1500</v>
      </c>
      <c r="G38" s="4" t="n">
        <v>1500</v>
      </c>
      <c r="H38" s="4" t="n">
        <v>1500</v>
      </c>
      <c r="I38" s="4" t="n">
        <v>1500</v>
      </c>
      <c r="J38" t="inlineStr"/>
    </row>
    <row r="39">
      <c r="A39" t="inlineStr">
        <is>
          <t>Post-call tokens per call (6-luna)</t>
        </is>
      </c>
      <c r="B39" s="4" t="n">
        <v>4000</v>
      </c>
      <c r="C39" s="4" t="n">
        <v>4000</v>
      </c>
      <c r="D39" s="4" t="n">
        <v>4000</v>
      </c>
      <c r="E39" s="4" t="n">
        <v>4000</v>
      </c>
      <c r="F39" s="4" t="n">
        <v>4000</v>
      </c>
      <c r="G39" s="4" t="n">
        <v>4000</v>
      </c>
      <c r="H39" s="4" t="n">
        <v>4000</v>
      </c>
      <c r="I39" s="4" t="n">
        <v>4000</v>
      </c>
      <c r="J39" t="inlineStr"/>
    </row>
    <row r="40">
      <c r="A40" t="inlineStr">
        <is>
          <t>Agent talk share</t>
        </is>
      </c>
      <c r="B40" s="4" t="n">
        <v>0.5</v>
      </c>
      <c r="C40" s="4" t="n">
        <v>0.5</v>
      </c>
      <c r="D40" s="4" t="n">
        <v>0.5</v>
      </c>
      <c r="E40" s="4" t="n">
        <v>0.5</v>
      </c>
      <c r="F40" s="4" t="n">
        <v>0.5</v>
      </c>
      <c r="G40" s="4" t="n">
        <v>0.5</v>
      </c>
      <c r="H40" s="4" t="n">
        <v>0.5</v>
      </c>
      <c r="I40" s="4" t="n">
        <v>0.5</v>
      </c>
      <c r="J40" t="inlineStr"/>
    </row>
    <row r="41">
      <c r="A41" t="inlineStr">
        <is>
          <t>TTS chars per agent-speech minute</t>
        </is>
      </c>
      <c r="B41" s="4" t="n">
        <v>800</v>
      </c>
      <c r="C41" s="4" t="n">
        <v>800</v>
      </c>
      <c r="D41" s="4" t="n">
        <v>800</v>
      </c>
      <c r="E41" s="4" t="n">
        <v>800</v>
      </c>
      <c r="F41" s="4" t="n">
        <v>800</v>
      </c>
      <c r="G41" s="4" t="n">
        <v>800</v>
      </c>
      <c r="H41" s="4" t="n">
        <v>800</v>
      </c>
      <c r="I41" s="4" t="n">
        <v>800</v>
      </c>
      <c r="J41" t="inlineStr">
        <is>
          <t>measured 612-1038</t>
        </is>
      </c>
    </row>
    <row r="42">
      <c r="A42" t="inlineStr">
        <is>
          <t>TTS waste factor</t>
        </is>
      </c>
      <c r="B42" s="4" t="n">
        <v>1.1</v>
      </c>
      <c r="C42" s="4" t="n">
        <v>1.1</v>
      </c>
      <c r="D42" s="4" t="n">
        <v>1.1</v>
      </c>
      <c r="E42" s="4" t="n">
        <v>1.1</v>
      </c>
      <c r="F42" s="4" t="n">
        <v>1.1</v>
      </c>
      <c r="G42" s="4" t="n">
        <v>1.1</v>
      </c>
      <c r="H42" s="4" t="n">
        <v>1.1</v>
      </c>
      <c r="I42" s="4" t="n">
        <v>1.1</v>
      </c>
      <c r="J42" t="inlineStr"/>
    </row>
    <row r="43">
      <c r="A43" t="inlineStr">
        <is>
          <t>TTS phrase-cache share</t>
        </is>
      </c>
      <c r="B43" s="4" t="n">
        <v>0</v>
      </c>
      <c r="C43" s="4" t="n">
        <v>0</v>
      </c>
      <c r="D43" s="4" t="n">
        <v>0.25</v>
      </c>
      <c r="E43" s="4" t="n">
        <v>0.25</v>
      </c>
      <c r="F43" s="4" t="n">
        <v>0</v>
      </c>
      <c r="G43" s="4" t="n">
        <v>0.25</v>
      </c>
      <c r="H43" s="4" t="n">
        <v>0.25</v>
      </c>
      <c r="I43" s="4" t="n">
        <v>0</v>
      </c>
      <c r="J43" t="inlineStr"/>
    </row>
    <row r="44">
      <c r="A44" t="inlineStr">
        <is>
          <t>TTS USD per 1M chars (effective; neural = cheapest stepped tier at this volume)</t>
        </is>
      </c>
      <c r="B44" s="4" t="n">
        <v>22</v>
      </c>
      <c r="C44" s="4" t="n">
        <v>22</v>
      </c>
      <c r="D44" s="4" t="n">
        <v>11.81818181818181</v>
      </c>
      <c r="E44" s="4" t="n">
        <v>11.81818181818181</v>
      </c>
      <c r="F44" s="4" t="n">
        <v>0</v>
      </c>
      <c r="G44" s="4" t="n">
        <v>11.81818181818181</v>
      </c>
      <c r="H44" s="4" t="n">
        <v>22</v>
      </c>
      <c r="I44" s="4" t="n">
        <v>0</v>
      </c>
      <c r="J44" t="inlineStr">
        <is>
          <t>round 2: tiers step with volume; an under-filled tier is paid in full</t>
        </is>
      </c>
    </row>
    <row r="45">
      <c r="A45" t="inlineStr">
        <is>
          <t>vCPU per concurrent call</t>
        </is>
      </c>
      <c r="B45" s="4" t="n">
        <v>0.25</v>
      </c>
      <c r="C45" s="4" t="n">
        <v>0.25</v>
      </c>
      <c r="D45" s="4" t="n">
        <v>0.25</v>
      </c>
      <c r="E45" s="4" t="n">
        <v>0.25</v>
      </c>
      <c r="F45" s="4" t="n">
        <v>0.25</v>
      </c>
      <c r="G45" s="4" t="n">
        <v>0.25</v>
      </c>
      <c r="H45" s="4" t="n">
        <v>0.25</v>
      </c>
      <c r="I45" s="4" t="n">
        <v>0.25</v>
      </c>
      <c r="J45" t="inlineStr"/>
    </row>
    <row r="46">
      <c r="A46" t="inlineStr">
        <is>
          <t>GiB per concurrent call</t>
        </is>
      </c>
      <c r="B46" s="4" t="n">
        <v>0.5</v>
      </c>
      <c r="C46" s="4" t="n">
        <v>0.5</v>
      </c>
      <c r="D46" s="4" t="n">
        <v>0.5</v>
      </c>
      <c r="E46" s="4" t="n">
        <v>0.5</v>
      </c>
      <c r="F46" s="4" t="n">
        <v>0.5</v>
      </c>
      <c r="G46" s="4" t="n">
        <v>0.5</v>
      </c>
      <c r="H46" s="4" t="n">
        <v>0.5</v>
      </c>
      <c r="I46" s="4" t="n">
        <v>0.5</v>
      </c>
      <c r="J46" t="inlineStr"/>
    </row>
    <row r="47">
      <c r="A47" t="inlineStr">
        <is>
          <t>Infra headroom</t>
        </is>
      </c>
      <c r="B47" s="4" t="n">
        <v>1.5</v>
      </c>
      <c r="C47" s="4" t="n">
        <v>1.5</v>
      </c>
      <c r="D47" s="4" t="n">
        <v>1.5</v>
      </c>
      <c r="E47" s="4" t="n">
        <v>1.5</v>
      </c>
      <c r="F47" s="4" t="n">
        <v>1.5</v>
      </c>
      <c r="G47" s="4" t="n">
        <v>1.5</v>
      </c>
      <c r="H47" s="4" t="n">
        <v>1.5</v>
      </c>
      <c r="I47" s="4" t="n">
        <v>1.5</v>
      </c>
      <c r="J47" t="inlineStr"/>
    </row>
    <row r="48">
      <c r="A48" t="inlineStr">
        <is>
          <t>Recording MB per min</t>
        </is>
      </c>
      <c r="B48" s="4" t="n">
        <v>0.24</v>
      </c>
      <c r="C48" s="4" t="n">
        <v>0.24</v>
      </c>
      <c r="D48" s="4" t="n">
        <v>0.24</v>
      </c>
      <c r="E48" s="4" t="n">
        <v>0.24</v>
      </c>
      <c r="F48" s="4" t="n">
        <v>0.24</v>
      </c>
      <c r="G48" s="4" t="n">
        <v>0.24</v>
      </c>
      <c r="H48" s="4" t="n">
        <v>0.24</v>
      </c>
      <c r="I48" s="4" t="n">
        <v>0.24</v>
      </c>
      <c r="J48" t="inlineStr"/>
    </row>
    <row r="49">
      <c r="A49" t="inlineStr">
        <is>
          <t>Recording retention months</t>
        </is>
      </c>
      <c r="B49" s="4" t="n">
        <v>12</v>
      </c>
      <c r="C49" s="4" t="n">
        <v>12</v>
      </c>
      <c r="D49" s="4" t="n">
        <v>12</v>
      </c>
      <c r="E49" s="4" t="n">
        <v>12</v>
      </c>
      <c r="F49" s="4" t="n">
        <v>12</v>
      </c>
      <c r="G49" s="4" t="n">
        <v>12</v>
      </c>
      <c r="H49" s="4" t="n">
        <v>12</v>
      </c>
      <c r="I49" s="4" t="n">
        <v>12</v>
      </c>
      <c r="J49" t="inlineStr"/>
    </row>
    <row r="50">
      <c r="A50" t="inlineStr">
        <is>
          <t>Log KB per min</t>
        </is>
      </c>
      <c r="B50" s="4" t="n">
        <v>20</v>
      </c>
      <c r="C50" s="4" t="n">
        <v>20</v>
      </c>
      <c r="D50" s="4" t="n">
        <v>20</v>
      </c>
      <c r="E50" s="4" t="n">
        <v>20</v>
      </c>
      <c r="F50" s="4" t="n">
        <v>20</v>
      </c>
      <c r="G50" s="4" t="n">
        <v>20</v>
      </c>
      <c r="H50" s="4" t="n">
        <v>20</v>
      </c>
      <c r="I50" s="4" t="n">
        <v>20</v>
      </c>
      <c r="J50" t="inlineStr"/>
    </row>
    <row r="51">
      <c r="A51" t="inlineStr">
        <is>
          <t>Support/ops INR per min</t>
        </is>
      </c>
      <c r="B51" s="4" t="n">
        <v>0.15</v>
      </c>
      <c r="C51" s="4" t="n">
        <v>0.15</v>
      </c>
      <c r="D51" s="4" t="n">
        <v>0.15</v>
      </c>
      <c r="E51" s="4" t="n">
        <v>0.15</v>
      </c>
      <c r="F51" s="4" t="n">
        <v>0.15</v>
      </c>
      <c r="G51" s="4" t="n">
        <v>0.15</v>
      </c>
      <c r="H51" s="4" t="n">
        <v>0.15</v>
      </c>
      <c r="I51" s="4" t="n">
        <v>0.15</v>
      </c>
      <c r="J51" t="inlineStr"/>
    </row>
    <row r="52">
      <c r="A52" t="inlineStr">
        <is>
          <t>Fixed platform USD/month</t>
        </is>
      </c>
      <c r="B52" s="4" t="n">
        <v>800</v>
      </c>
      <c r="C52" s="4" t="n">
        <v>800</v>
      </c>
      <c r="D52" s="4" t="n">
        <v>800</v>
      </c>
      <c r="E52" s="4" t="n">
        <v>800</v>
      </c>
      <c r="F52" s="4" t="n">
        <v>800</v>
      </c>
      <c r="G52" s="4" t="n">
        <v>800</v>
      </c>
      <c r="H52" s="4" t="n">
        <v>800</v>
      </c>
      <c r="I52" s="4" t="n">
        <v>800</v>
      </c>
      <c r="J52" t="inlineStr"/>
    </row>
    <row r="53">
      <c r="A53" t="inlineStr">
        <is>
          <t>Target gross margin</t>
        </is>
      </c>
      <c r="B53" s="4" t="n">
        <v>0.6</v>
      </c>
      <c r="C53" s="4" t="n">
        <v>0.6</v>
      </c>
      <c r="D53" s="4" t="n">
        <v>0.6</v>
      </c>
      <c r="E53" s="4" t="n">
        <v>0.6</v>
      </c>
      <c r="F53" s="4" t="n">
        <v>0.6</v>
      </c>
      <c r="G53" s="4" t="n">
        <v>0.6</v>
      </c>
      <c r="H53" s="4" t="n">
        <v>0.6</v>
      </c>
      <c r="I53" s="4" t="n">
        <v>0.6</v>
      </c>
      <c r="J53" t="inlineStr"/>
    </row>
    <row r="55">
      <c r="A55" s="1" t="inlineStr">
        <is>
          <t>OUTPUT: INR per connected minute</t>
        </is>
      </c>
    </row>
    <row r="56">
      <c r="A56" t="inlineStr">
        <is>
          <t>Telephony</t>
        </is>
      </c>
      <c r="B56" s="5">
        <f>IF(B12&gt;0,B12/B13+20000/36/B5,B8*(1+(B9/60/2)/B7)+B10/B11)</f>
        <v/>
      </c>
      <c r="C56" s="5">
        <f>IF(C12&gt;0,C12/C13+20000/36/C5,C8*(1+(C9/60/2)/C7)+C10/C11)</f>
        <v/>
      </c>
      <c r="D56" s="5">
        <f>IF(D12&gt;0,D12/D13+20000/36/D5,D8*(1+(D9/60/2)/D7)+D10/D11)</f>
        <v/>
      </c>
      <c r="E56" s="5">
        <f>IF(E12&gt;0,E12/E13+20000/36/E5,E8*(1+(E9/60/2)/E7)+E10/E11)</f>
        <v/>
      </c>
      <c r="F56" s="5">
        <f>IF(F12&gt;0,F12/F13+20000/36/F5,F8*(1+(F9/60/2)/F7)+F10/F11)</f>
        <v/>
      </c>
      <c r="G56" s="5">
        <f>IF(G12&gt;0,G12/G13+20000/36/G5,G8*(1+(G9/60/2)/G7)+G10/G11)</f>
        <v/>
      </c>
      <c r="H56" s="5">
        <f>IF(H12&gt;0,H12/H13+20000/36/H5,H8*(1+(H9/60/2)/H7)+H10/H11)</f>
        <v/>
      </c>
      <c r="I56" s="5">
        <f>IF(I12&gt;0,I12/I13+20000/36/I5,I8*(1+(I9/60/2)/I7)+I10/I11)</f>
        <v/>
      </c>
    </row>
    <row r="57">
      <c r="A57" t="inlineStr">
        <is>
          <t>ASR (ear)</t>
        </is>
      </c>
      <c r="B57" s="5">
        <f>IF(B18&gt;0,MAX((B18+B22)/60/(B19*B23)/B24*B6,B25*(B18+B22)*730*B6/B5),(B14+60*B16/1000*B15)*B17*B6)</f>
        <v/>
      </c>
      <c r="C57" s="5">
        <f>IF(C18&gt;0,MAX((C18+C22)/60/(C19*C23)/C24*C6,C25*(C18+C22)*730*C6/C5),(C14+60*C16/1000*C15)*C17*C6)</f>
        <v/>
      </c>
      <c r="D57" s="5">
        <f>IF(D18&gt;0,MAX((D18+D22)/60/(D19*D23)/D24*D6,D25*(D18+D22)*730*D6/D5),(D14+60*D16/1000*D15)*D17*D6)</f>
        <v/>
      </c>
      <c r="E57" s="5">
        <f>IF(E18&gt;0,MAX((E18+E22)/60/(E19*E23)/E24*E6,E25*(E18+E22)*730*E6/E5),(E14+60*E16/1000*E15)*E17*E6)</f>
        <v/>
      </c>
      <c r="F57" s="5">
        <f>IF(F18&gt;0,MAX((F18+F22)/60/(F19*F23)/F24*F6,F25*(F18+F22)*730*F6/F5),(F14+60*F16/1000*F15)*F17*F6)</f>
        <v/>
      </c>
      <c r="G57" s="5">
        <f>IF(G18&gt;0,MAX((G18+G22)/60/(G19*G23)/G24*G6,G25*(G18+G22)*730*G6/G5),(G14+60*G16/1000*G15)*G17*G6)</f>
        <v/>
      </c>
      <c r="H57" s="5">
        <f>IF(H18&gt;0,MAX((H18+H22)/60/(H19*H23)/H24*H6,H25*(H18+H22)*730*H6/H5),(H14+60*H16/1000*H15)*H17*H6)</f>
        <v/>
      </c>
      <c r="I57" s="5">
        <f>IF(I18&gt;0,MAX((I18+I22)/60/(I19*I23)/I24*I6,I25*(I18+I22)*730*I6/I5),(I14+60*I16/1000*I15)*I17*I6)</f>
        <v/>
      </c>
    </row>
    <row r="58">
      <c r="A58" t="inlineStr">
        <is>
          <t>LLM</t>
        </is>
      </c>
      <c r="B58" s="5">
        <f>(B31*B32*(((B33+B34+B35+20)*(B36*B28+(1-B36)*MAX(B27,B29))+B37*B30)/1000000+(B38*(0.8*0.01+0.2*0.125)+20*0.5)/1000000)+(B39*0.1+300*0.5)/1000000/B7)*B6</f>
        <v/>
      </c>
      <c r="C58" s="5">
        <f>(C31*C32*(((C33+C34+C35+20)*(C36*C28+(1-C36)*MAX(C27,C29))+C37*C30)/1000000+(C38*(0.8*0.01+0.2*0.125)+20*0.5)/1000000)+(C39*0.1+300*0.5)/1000000/C7)*C6</f>
        <v/>
      </c>
      <c r="D58" s="5">
        <f>(D31*D32*(((D33+D34+D35+20)*(D36*D28+(1-D36)*MAX(D27,D29))+D37*D30)/1000000+(D38*(0.8*0.01+0.2*0.125)+20*0.5)/1000000)+(D39*0.1+300*0.5)/1000000/D7)*D6</f>
        <v/>
      </c>
      <c r="E58" s="5">
        <f>(E31*E32*(((E33+E34+E35+20)*(E36*E28+(1-E36)*MAX(E27,E29))+E37*E30)/1000000+(E38*(0.8*0.01+0.2*0.125)+20*0.5)/1000000)+(E39*0.1+300*0.5)/1000000/E7)*E6</f>
        <v/>
      </c>
      <c r="F58" s="5">
        <f>(F31*F32*(((F33+F34+F35+20)*(F36*F28+(1-F36)*MAX(F27,F29))+F37*F30)/1000000+(F38*(0.8*0.01+0.2*0.125)+20*0.5)/1000000)+(F39*0.1+300*0.5)/1000000/F7)*F6</f>
        <v/>
      </c>
      <c r="G58" s="5">
        <f>(G31*G32*(((G33+G34+G35+20)*(G36*G28+(1-G36)*MAX(G27,G29))+G37*G30)/1000000+(G38*(0.8*0.01+0.2*0.125)+20*0.5)/1000000)+(G39*0.1+300*0.5)/1000000/G7)*G6</f>
        <v/>
      </c>
      <c r="H58" s="5">
        <f>(H31*H32*(((H33+H34+H35+20)*(H36*H28+(1-H36)*MAX(H27,H29))+H37*H30)/1000000+(H38*(0.8*0.01+0.2*0.125)+20*0.5)/1000000)+(H39*0.1+300*0.5)/1000000/H7)*H6</f>
        <v/>
      </c>
      <c r="I58" s="5">
        <f>(I31*I32*(((I33+I34+I35+20)*(I36*I28+(1-I36)*MAX(I27,I29))+I37*I30)/1000000+(I38*(0.8*0.01+0.2*0.125)+20*0.5)/1000000)+(I39*0.1+300*0.5)/1000000/I7)*I6</f>
        <v/>
      </c>
    </row>
    <row r="59">
      <c r="A59" t="inlineStr">
        <is>
          <t>TTS</t>
        </is>
      </c>
      <c r="B59" s="5">
        <f>IF(B20&gt;0,MAX((B20+B22)/60/(B21*B23)/B24*B6,B25*(B20+B22)*730*B6/B5),B40*B41*B42*(1-B43)*B44/1000000*B6)</f>
        <v/>
      </c>
      <c r="C59" s="5">
        <f>IF(C20&gt;0,MAX((C20+C22)/60/(C21*C23)/C24*C6,C25*(C20+C22)*730*C6/C5),C40*C41*C42*(1-C43)*C44/1000000*C6)</f>
        <v/>
      </c>
      <c r="D59" s="5">
        <f>IF(D20&gt;0,MAX((D20+D22)/60/(D21*D23)/D24*D6,D25*(D20+D22)*730*D6/D5),D40*D41*D42*(1-D43)*D44/1000000*D6)</f>
        <v/>
      </c>
      <c r="E59" s="5">
        <f>IF(E20&gt;0,MAX((E20+E22)/60/(E21*E23)/E24*E6,E25*(E20+E22)*730*E6/E5),E40*E41*E42*(1-E43)*E44/1000000*E6)</f>
        <v/>
      </c>
      <c r="F59" s="5">
        <f>IF(F20&gt;0,MAX((F20+F22)/60/(F21*F23)/F24*F6,F25*(F20+F22)*730*F6/F5),F40*F41*F42*(1-F43)*F44/1000000*F6)</f>
        <v/>
      </c>
      <c r="G59" s="5">
        <f>IF(G20&gt;0,MAX((G20+G22)/60/(G21*G23)/G24*G6,G25*(G20+G22)*730*G6/G5),G40*G41*G42*(1-G43)*G44/1000000*G6)</f>
        <v/>
      </c>
      <c r="H59" s="5">
        <f>IF(H20&gt;0,MAX((H20+H22)/60/(H21*H23)/H24*H6,H25*(H20+H22)*730*H6/H5),H40*H41*H42*(1-H43)*H44/1000000*H6)</f>
        <v/>
      </c>
      <c r="I59" s="5">
        <f>IF(I20&gt;0,MAX((I20+I22)/60/(I21*I23)/I24*I6,I25*(I20+I22)*730*I6/I5),I40*I41*I42*(1-I43)*I44/1000000*I6)</f>
        <v/>
      </c>
    </row>
    <row r="60">
      <c r="A60" t="inlineStr">
        <is>
          <t>Realtime infra</t>
        </is>
      </c>
      <c r="B60" s="5">
        <f>(B45*0.000024+B46*0.000003)*60*B47*B6</f>
        <v/>
      </c>
      <c r="C60" s="5">
        <f>(C45*0.000024+C46*0.000003)*60*C47*C6</f>
        <v/>
      </c>
      <c r="D60" s="5">
        <f>(D45*0.000024+D46*0.000003)*60*D47*D6</f>
        <v/>
      </c>
      <c r="E60" s="5">
        <f>(E45*0.000024+E46*0.000003)*60*E47*E6</f>
        <v/>
      </c>
      <c r="F60" s="5">
        <f>(F45*0.000024+F46*0.000003)*60*F47*F6</f>
        <v/>
      </c>
      <c r="G60" s="5">
        <f>(G45*0.000024+G46*0.000003)*60*G47*G6</f>
        <v/>
      </c>
      <c r="H60" s="5">
        <f>(H45*0.000024+H46*0.000003)*60*H47*H6</f>
        <v/>
      </c>
      <c r="I60" s="5">
        <f>(I45*0.000024+I46*0.000003)*60*I47*I6</f>
        <v/>
      </c>
    </row>
    <row r="61">
      <c r="A61" t="inlineStr">
        <is>
          <t>Recording storage</t>
        </is>
      </c>
      <c r="B61" s="5">
        <f>B48/1024*0.02*B49*B6</f>
        <v/>
      </c>
      <c r="C61" s="5">
        <f>C48/1024*0.02*C49*C6</f>
        <v/>
      </c>
      <c r="D61" s="5">
        <f>D48/1024*0.02*D49*D6</f>
        <v/>
      </c>
      <c r="E61" s="5">
        <f>E48/1024*0.02*E49*E6</f>
        <v/>
      </c>
      <c r="F61" s="5">
        <f>F48/1024*0.02*F49*F6</f>
        <v/>
      </c>
      <c r="G61" s="5">
        <f>G48/1024*0.02*G49*G6</f>
        <v/>
      </c>
      <c r="H61" s="5">
        <f>H48/1024*0.02*H49*H6</f>
        <v/>
      </c>
      <c r="I61" s="5">
        <f>I48/1024*0.02*I49*I6</f>
        <v/>
      </c>
    </row>
    <row r="62">
      <c r="A62" t="inlineStr">
        <is>
          <t>Observability</t>
        </is>
      </c>
      <c r="B62" s="5">
        <f>B50/1048576*3.22*B6</f>
        <v/>
      </c>
      <c r="C62" s="5">
        <f>C50/1048576*3.22*C6</f>
        <v/>
      </c>
      <c r="D62" s="5">
        <f>D50/1048576*3.22*D6</f>
        <v/>
      </c>
      <c r="E62" s="5">
        <f>E50/1048576*3.22*E6</f>
        <v/>
      </c>
      <c r="F62" s="5">
        <f>F50/1048576*3.22*F6</f>
        <v/>
      </c>
      <c r="G62" s="5">
        <f>G50/1048576*3.22*G6</f>
        <v/>
      </c>
      <c r="H62" s="5">
        <f>H50/1048576*3.22*H6</f>
        <v/>
      </c>
      <c r="I62" s="5">
        <f>I50/1048576*3.22*I6</f>
        <v/>
      </c>
    </row>
    <row r="63">
      <c r="A63" t="inlineStr">
        <is>
          <t>Fixed platform + GPU ops / volume</t>
        </is>
      </c>
      <c r="B63" s="5">
        <f>(B52*B6+B26)/B5</f>
        <v/>
      </c>
      <c r="C63" s="5">
        <f>(C52*C6+C26)/C5</f>
        <v/>
      </c>
      <c r="D63" s="5">
        <f>(D52*D6+D26)/D5</f>
        <v/>
      </c>
      <c r="E63" s="5">
        <f>(E52*E6+E26)/E5</f>
        <v/>
      </c>
      <c r="F63" s="5">
        <f>(F52*F6+F26)/F5</f>
        <v/>
      </c>
      <c r="G63" s="5">
        <f>(G52*G6+G26)/G5</f>
        <v/>
      </c>
      <c r="H63" s="5">
        <f>(H52*H6+H26)/H5</f>
        <v/>
      </c>
      <c r="I63" s="5">
        <f>(I52*I6+I26)/I5</f>
        <v/>
      </c>
    </row>
    <row r="64">
      <c r="A64" t="inlineStr">
        <is>
          <t>Support / ops</t>
        </is>
      </c>
      <c r="B64" s="5">
        <f>B51</f>
        <v/>
      </c>
      <c r="C64" s="5">
        <f>C51</f>
        <v/>
      </c>
      <c r="D64" s="5">
        <f>D51</f>
        <v/>
      </c>
      <c r="E64" s="5">
        <f>E51</f>
        <v/>
      </c>
      <c r="F64" s="5">
        <f>F51</f>
        <v/>
      </c>
      <c r="G64" s="5">
        <f>G51</f>
        <v/>
      </c>
      <c r="H64" s="5">
        <f>H51</f>
        <v/>
      </c>
      <c r="I64" s="5">
        <f>I51</f>
        <v/>
      </c>
    </row>
    <row r="65">
      <c r="A65" s="1" t="inlineStr">
        <is>
          <t>COGS INR per connected minute</t>
        </is>
      </c>
      <c r="B65" s="6">
        <f>SUM(B56:B64)</f>
        <v/>
      </c>
      <c r="C65" s="6">
        <f>SUM(C56:C64)</f>
        <v/>
      </c>
      <c r="D65" s="6">
        <f>SUM(D56:D64)</f>
        <v/>
      </c>
      <c r="E65" s="6">
        <f>SUM(E56:E64)</f>
        <v/>
      </c>
      <c r="F65" s="6">
        <f>SUM(F56:F64)</f>
        <v/>
      </c>
      <c r="G65" s="6">
        <f>SUM(G56:G64)</f>
        <v/>
      </c>
      <c r="H65" s="6">
        <f>SUM(H56:H64)</f>
        <v/>
      </c>
      <c r="I65" s="6">
        <f>SUM(I56:I64)</f>
        <v/>
      </c>
    </row>
    <row r="66">
      <c r="A66" s="1" t="inlineStr">
        <is>
          <t>Price INR per connected minute at target gross margin</t>
        </is>
      </c>
      <c r="B66" s="7">
        <f>B65/(1-B53)</f>
        <v/>
      </c>
      <c r="C66" s="7">
        <f>C65/(1-C53)</f>
        <v/>
      </c>
      <c r="D66" s="7">
        <f>D65/(1-D53)</f>
        <v/>
      </c>
      <c r="E66" s="7">
        <f>E65/(1-E53)</f>
        <v/>
      </c>
      <c r="F66" s="7">
        <f>F65/(1-F53)</f>
        <v/>
      </c>
      <c r="G66" s="7">
        <f>G65/(1-G53)</f>
        <v/>
      </c>
      <c r="H66" s="7">
        <f>H65/(1-H53)</f>
        <v/>
      </c>
      <c r="I66" s="7">
        <f>I65/(1-I53)</f>
        <v/>
      </c>
    </row>
    <row r="67">
      <c r="A67" t="inlineStr">
        <is>
          <t>Below INR 2 COGS?</t>
        </is>
      </c>
      <c r="B67">
        <f>IF(B65&lt;=2,"yes","no")</f>
        <v/>
      </c>
      <c r="C67">
        <f>IF(C65&lt;=2,"yes","no")</f>
        <v/>
      </c>
      <c r="D67">
        <f>IF(D65&lt;=2,"yes","no")</f>
        <v/>
      </c>
      <c r="E67">
        <f>IF(E65&lt;=2,"yes","no")</f>
        <v/>
      </c>
      <c r="F67">
        <f>IF(F65&lt;=2,"yes","no")</f>
        <v/>
      </c>
      <c r="G67">
        <f>IF(G65&lt;=2,"yes","no")</f>
        <v/>
      </c>
      <c r="H67">
        <f>IF(H65&lt;=2,"yes","no")</f>
        <v/>
      </c>
      <c r="I67">
        <f>IF(I65&lt;=2,"yes","no")</f>
        <v/>
      </c>
    </row>
    <row r="69">
      <c r="A69" s="1" t="inlineStr">
        <is>
          <t>HEADLINE: Monte Carlo COGS p50, INR per connected minute (n=20,000; values from cost-model.py)</t>
        </is>
      </c>
      <c r="B69" s="6" t="n">
        <v>5.883</v>
      </c>
      <c r="C69" s="6" t="n">
        <v>6.3</v>
      </c>
      <c r="D69" s="6" t="n">
        <v>3.231</v>
      </c>
      <c r="E69" s="6" t="n">
        <v>2.654</v>
      </c>
      <c r="F69" s="6" t="n">
        <v>2.253</v>
      </c>
      <c r="G69" s="6" t="n">
        <v>2.154</v>
      </c>
      <c r="H69" s="6" t="n">
        <v>3.598</v>
      </c>
      <c r="I69" s="6" t="n">
        <v>1.19</v>
      </c>
    </row>
    <row r="70">
      <c r="A70" t="inlineStr">
        <is>
          <t>Monte Carlo COGS p10</t>
        </is>
      </c>
      <c r="B70" s="7" t="n">
        <v>5.005</v>
      </c>
      <c r="C70" s="7" t="n">
        <v>5.448</v>
      </c>
      <c r="D70" s="7" t="n">
        <v>2.836</v>
      </c>
      <c r="E70" s="7" t="n">
        <v>2.32</v>
      </c>
      <c r="F70" s="7" t="n">
        <v>1.943</v>
      </c>
      <c r="G70" s="7" t="n">
        <v>1.91</v>
      </c>
      <c r="H70" s="7" t="n">
        <v>3.166</v>
      </c>
      <c r="I70" s="7" t="n">
        <v>1.071</v>
      </c>
    </row>
    <row r="71">
      <c r="A71" t="inlineStr">
        <is>
          <t>Monte Carlo COGS p90</t>
        </is>
      </c>
      <c r="B71" s="7" t="n">
        <v>6.956</v>
      </c>
      <c r="C71" s="7" t="n">
        <v>7.336</v>
      </c>
      <c r="D71" s="7" t="n">
        <v>3.704</v>
      </c>
      <c r="E71" s="7" t="n">
        <v>3.067</v>
      </c>
      <c r="F71" s="7" t="n">
        <v>2.648</v>
      </c>
      <c r="G71" s="7" t="n">
        <v>2.464</v>
      </c>
      <c r="H71" s="7" t="n">
        <v>4.095</v>
      </c>
      <c r="I71" s="7" t="n">
        <v>1.328</v>
      </c>
    </row>
    <row r="72">
      <c r="A72" t="inlineStr">
        <is>
          <t>P(COGS &lt;= INR 2)</t>
        </is>
      </c>
      <c r="B72" t="n">
        <v>0</v>
      </c>
      <c r="C72" t="n">
        <v>0</v>
      </c>
      <c r="D72" t="n">
        <v>0</v>
      </c>
      <c r="E72" t="n">
        <v>0.002</v>
      </c>
      <c r="F72" t="n">
        <v>0.153</v>
      </c>
      <c r="G72" t="n">
        <v>0.227</v>
      </c>
      <c r="H72" t="n">
        <v>0</v>
      </c>
      <c r="I72" t="n">
        <v>1</v>
      </c>
    </row>
    <row r="73">
      <c r="A73" t="inlineStr">
        <is>
          <t>Note: the formula rows above are the all-modes base case. Right-skewed ranges put it below the MC p50 (in A, below the MC p10). Quote the MC p50.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3" max="3"/>
  </cols>
  <sheetData>
    <row r="1">
      <c r="A1" s="1" t="inlineStr">
        <is>
          <t>In-house telecaller: fully loaded INR per productive connected minute and per outcome (formulas; yellow = inputs)</t>
        </is>
      </c>
    </row>
    <row r="3">
      <c r="A3" t="inlineStr">
        <is>
          <t>Gross salary INR/month</t>
        </is>
      </c>
      <c r="B3" s="4" t="n">
        <v>17000</v>
      </c>
      <c r="C3" t="inlineStr">
        <is>
          <t>Apna job posts 2026-10-17, measured median of band mid-points (n=1,234); round 1 used 18,000</t>
        </is>
      </c>
    </row>
    <row r="4">
      <c r="A4" t="inlineStr">
        <is>
          <t>Employer statutory loading (PF/ESI/bonus/gratuity)</t>
        </is>
      </c>
      <c r="B4" s="4" t="n">
        <v>0.13</v>
      </c>
      <c r="C4" t="inlineStr">
        <is>
          <t>0 for informal SMBs .. ~0.22</t>
        </is>
      </c>
    </row>
    <row r="5">
      <c r="A5" t="inlineStr">
        <is>
          <t>Seat: rent, power, PC, headset INR/month</t>
        </is>
      </c>
      <c r="B5" s="4" t="n">
        <v>5000</v>
      </c>
      <c r="C5" t="inlineStr">
        <is>
          <t>assumption, Tier-2..Tier-1</t>
        </is>
      </c>
    </row>
    <row r="6">
      <c r="A6" t="inlineStr">
        <is>
          <t>Dialer/telephony licence INR/month</t>
        </is>
      </c>
      <c r="B6" s="4" t="n">
        <v>1250</v>
      </c>
      <c r="C6" t="inlineStr">
        <is>
          <t>Tata Smartflo Pro unlimited (FUP 5000 min)</t>
        </is>
      </c>
    </row>
    <row r="7">
      <c r="A7" t="inlineStr">
        <is>
          <t>Team-lead salary INR/month</t>
        </is>
      </c>
      <c r="B7" s="4" t="n">
        <v>38000</v>
      </c>
      <c r="C7" t="inlineStr">
        <is>
          <t>assumption</t>
        </is>
      </c>
    </row>
    <row r="8">
      <c r="A8" t="inlineStr">
        <is>
          <t>Callers per team lead</t>
        </is>
      </c>
      <c r="B8" s="4" t="n">
        <v>10</v>
      </c>
      <c r="C8" t="inlineStr">
        <is>
          <t>assumption 7-15</t>
        </is>
      </c>
    </row>
    <row r="9">
      <c r="A9" t="inlineStr">
        <is>
          <t>Monthly attrition</t>
        </is>
      </c>
      <c r="B9" s="4" t="n">
        <v>0.07000000000000001</v>
      </c>
      <c r="C9" t="inlineStr">
        <is>
          <t>assumption; BPO/telecalling attrition commonly 4-12%/month</t>
        </is>
      </c>
    </row>
    <row r="10">
      <c r="A10" t="inlineStr">
        <is>
          <t>Cost per hire incl. ramp INR</t>
        </is>
      </c>
      <c r="B10" s="4" t="n">
        <v>15000</v>
      </c>
      <c r="C10" t="inlineStr">
        <is>
          <t>assumption</t>
        </is>
      </c>
    </row>
    <row r="11">
      <c r="A11" t="inlineStr">
        <is>
          <t>Connected talk hours per day</t>
        </is>
      </c>
      <c r="B11" s="4" t="n">
        <v>2.5</v>
      </c>
      <c r="C11" t="inlineStr">
        <is>
          <t>vendor claims 2-3 h (RMDialer); Callyzer 1.6 min avg call</t>
        </is>
      </c>
    </row>
    <row r="12">
      <c r="A12" t="inlineStr">
        <is>
          <t>Working days per month</t>
        </is>
      </c>
      <c r="B12" s="4" t="n">
        <v>24</v>
      </c>
      <c r="C12" t="inlineStr"/>
    </row>
    <row r="13">
      <c r="A13" t="inlineStr">
        <is>
          <t>Avg connected call minutes</t>
        </is>
      </c>
      <c r="B13" s="4" t="n">
        <v>1.6</v>
      </c>
      <c r="C13" t="inlineStr">
        <is>
          <t>Callyzer, 5 crore calls (vendor data)</t>
        </is>
      </c>
    </row>
    <row r="14">
      <c r="A14" t="inlineStr">
        <is>
          <t>Qualified share of connected calls</t>
        </is>
      </c>
      <c r="B14" s="4" t="n">
        <v>0.2</v>
      </c>
      <c r="C14" t="inlineStr">
        <is>
          <t>assumption</t>
        </is>
      </c>
    </row>
    <row r="16">
      <c r="A16" t="inlineStr">
        <is>
          <t>Fully loaded cost INR/month</t>
        </is>
      </c>
      <c r="B16">
        <f>B3*(1+B4)+B5+B6+B7/B8+B9*B10</f>
        <v/>
      </c>
    </row>
    <row r="17">
      <c r="A17" t="inlineStr">
        <is>
          <t>Productive connected minutes/month</t>
        </is>
      </c>
      <c r="B17">
        <f>B11*60*B12</f>
        <v/>
      </c>
    </row>
    <row r="18">
      <c r="A18" s="1" t="inlineStr">
        <is>
          <t>INR per connected minute</t>
        </is>
      </c>
      <c r="B18">
        <f>B16/B17</f>
        <v/>
      </c>
    </row>
    <row r="19">
      <c r="A19" t="inlineStr">
        <is>
          <t>INR per connected call</t>
        </is>
      </c>
      <c r="B19">
        <f>B18*B13</f>
        <v/>
      </c>
    </row>
    <row r="20">
      <c r="A20" s="1" t="inlineStr">
        <is>
          <t>INR per qualified lead</t>
        </is>
      </c>
      <c r="B20">
        <f>B19/B14</f>
        <v/>
      </c>
    </row>
    <row r="22">
      <c r="A22" t="inlineStr">
        <is>
          <t>Monte Carlo (cost-model.py, n=20,000) p10 / p50 / p90:</t>
        </is>
      </c>
    </row>
    <row r="23">
      <c r="A23" t="inlineStr">
        <is>
          <t>inr_per_connected_min</t>
        </is>
      </c>
      <c r="B23" t="n">
        <v>6.6</v>
      </c>
      <c r="C23" t="n">
        <v>8.859999999999999</v>
      </c>
      <c r="D23" t="n">
        <v>12.15</v>
      </c>
    </row>
    <row r="24">
      <c r="A24" t="inlineStr">
        <is>
          <t>inr_per_connected_call</t>
        </is>
      </c>
      <c r="B24" t="n">
        <v>10.55</v>
      </c>
      <c r="C24" t="n">
        <v>14.17</v>
      </c>
      <c r="D24" t="n">
        <v>19.44</v>
      </c>
    </row>
    <row r="25">
      <c r="A25" t="inlineStr">
        <is>
          <t>inr_per_qualified_lead</t>
        </is>
      </c>
      <c r="B25" t="n">
        <v>43.96</v>
      </c>
      <c r="C25" t="n">
        <v>66.95999999999999</v>
      </c>
      <c r="D25" t="n">
        <v>106.25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monthly_min</t>
        </is>
      </c>
      <c r="C1" t="inlineStr">
        <is>
          <t>COGS p10</t>
        </is>
      </c>
      <c r="D1" t="inlineStr">
        <is>
          <t>COGS p50</t>
        </is>
      </c>
      <c r="E1" t="inlineStr">
        <is>
          <t>COGS p90</t>
        </is>
      </c>
      <c r="F1" t="inlineStr">
        <is>
          <t>P(COGS&lt;=2)</t>
        </is>
      </c>
      <c r="G1" t="inlineStr">
        <is>
          <t>price p10</t>
        </is>
      </c>
      <c r="H1" t="inlineStr">
        <is>
          <t>price p50</t>
        </is>
      </c>
      <c r="I1" t="inlineStr">
        <is>
          <t>price p90</t>
        </is>
      </c>
    </row>
    <row r="2">
      <c r="A2" t="inlineStr">
        <is>
          <t>A. Managed today (quality bar)</t>
        </is>
      </c>
      <c r="B2" t="n">
        <v>100000</v>
      </c>
      <c r="C2" t="n">
        <v>5.004955946616654</v>
      </c>
      <c r="D2" t="n">
        <v>5.883336187132535</v>
      </c>
      <c r="E2" t="n">
        <v>6.95621366616743</v>
      </c>
      <c r="F2" t="n">
        <v>0</v>
      </c>
      <c r="G2" t="n">
        <v>12.03399172736518</v>
      </c>
      <c r="H2" t="n">
        <v>14.76145290293239</v>
      </c>
      <c r="I2" t="n">
        <v>18.32511879380456</v>
      </c>
    </row>
    <row r="3">
      <c r="A3" t="inlineStr">
        <is>
          <t>A0. Plain cascade reference (S1 STT + 5.6 terra + HD)</t>
        </is>
      </c>
      <c r="B3" t="n">
        <v>100000</v>
      </c>
      <c r="C3" t="n">
        <v>5.447918669784111</v>
      </c>
      <c r="D3" t="n">
        <v>6.299907793956665</v>
      </c>
      <c r="E3" t="n">
        <v>7.336301168737587</v>
      </c>
      <c r="F3" t="n">
        <v>0</v>
      </c>
      <c r="G3" t="n">
        <v>13.02541025698144</v>
      </c>
      <c r="H3" t="n">
        <v>15.81114933753115</v>
      </c>
      <c r="I3" t="n">
        <v>19.42211119587656</v>
      </c>
    </row>
    <row r="4">
      <c r="A4" t="inlineStr">
        <is>
          <t>B. Managed optimised</t>
        </is>
      </c>
      <c r="B4" t="n">
        <v>1000000</v>
      </c>
      <c r="C4" t="n">
        <v>2.836413247234627</v>
      </c>
      <c r="D4" t="n">
        <v>3.231436128579338</v>
      </c>
      <c r="E4" t="n">
        <v>3.703520951023703</v>
      </c>
      <c r="F4" t="n">
        <v>0</v>
      </c>
      <c r="G4" t="n">
        <v>6.759039492901439</v>
      </c>
      <c r="H4" t="n">
        <v>8.106361041023252</v>
      </c>
      <c r="I4" t="n">
        <v>9.85955433592677</v>
      </c>
    </row>
    <row r="5">
      <c r="A5" t="inlineStr">
        <is>
          <t>C. Hybrid (self-hosted ASR on T4, managed LLM+TTS)</t>
        </is>
      </c>
      <c r="B5" t="n">
        <v>1000000</v>
      </c>
      <c r="C5" t="n">
        <v>2.320133437695477</v>
      </c>
      <c r="D5" t="n">
        <v>2.653662346514995</v>
      </c>
      <c r="E5" t="n">
        <v>3.066699737302656</v>
      </c>
      <c r="F5" t="n">
        <v>0.00225</v>
      </c>
      <c r="G5" t="n">
        <v>5.515106581016906</v>
      </c>
      <c r="H5" t="n">
        <v>6.661216292248032</v>
      </c>
      <c r="I5" t="n">
        <v>8.142397650638904</v>
      </c>
    </row>
    <row r="6">
      <c r="A6" t="inlineStr">
        <is>
          <t>D. Self-hosted at scale (ASR+TTS on H100, managed LLM)</t>
        </is>
      </c>
      <c r="B6" t="n">
        <v>5000000</v>
      </c>
      <c r="C6" t="n">
        <v>1.943086068460397</v>
      </c>
      <c r="D6" t="n">
        <v>2.253095274398056</v>
      </c>
      <c r="E6" t="n">
        <v>2.648198124660325</v>
      </c>
      <c r="F6" t="n">
        <v>0.1526</v>
      </c>
      <c r="G6" t="n">
        <v>4.647499848072015</v>
      </c>
      <c r="H6" t="n">
        <v>5.664135085685616</v>
      </c>
      <c r="I6" t="n">
        <v>6.992366229296486</v>
      </c>
    </row>
    <row r="7">
      <c r="A7" t="inlineStr">
        <is>
          <t>B-luna. Managed optimised + 6-luna speaking model</t>
        </is>
      </c>
      <c r="B7" t="n">
        <v>1000000</v>
      </c>
      <c r="C7" t="n">
        <v>1.910324874191424</v>
      </c>
      <c r="D7" t="n">
        <v>2.153613522119</v>
      </c>
      <c r="E7" t="n">
        <v>2.464268286777218</v>
      </c>
      <c r="F7" t="n">
        <v>0.22665</v>
      </c>
      <c r="G7" t="n">
        <v>4.524533047161071</v>
      </c>
      <c r="H7" t="n">
        <v>5.418064991037648</v>
      </c>
      <c r="I7" t="n">
        <v>6.541443051852749</v>
      </c>
    </row>
    <row r="8">
      <c r="A8" t="inlineStr">
        <is>
          <t>B-HD. Managed optimised but DragonHD voice</t>
        </is>
      </c>
      <c r="B8" t="n">
        <v>1000000</v>
      </c>
      <c r="C8" t="n">
        <v>3.16580756205654</v>
      </c>
      <c r="D8" t="n">
        <v>3.597756732541761</v>
      </c>
      <c r="E8" t="n">
        <v>4.095001834391969</v>
      </c>
      <c r="F8" t="n">
        <v>0</v>
      </c>
      <c r="G8" t="n">
        <v>7.542061496716175</v>
      </c>
      <c r="H8" t="n">
        <v>9.009531856333426</v>
      </c>
      <c r="I8" t="n">
        <v>10.91471206599594</v>
      </c>
    </row>
    <row r="9">
      <c r="A9" t="inlineStr">
        <is>
          <t>D-lite. Self-hosted at scale + 6-luna speaking model</t>
        </is>
      </c>
      <c r="B9" t="n">
        <v>5000000</v>
      </c>
      <c r="C9" t="n">
        <v>1.071074085166402</v>
      </c>
      <c r="D9" t="n">
        <v>1.189808558333974</v>
      </c>
      <c r="E9" t="n">
        <v>1.32803040994392</v>
      </c>
      <c r="F9" t="n">
        <v>1</v>
      </c>
      <c r="G9" t="n">
        <v>2.528632278000933</v>
      </c>
      <c r="H9" t="n">
        <v>2.982911782330272</v>
      </c>
      <c r="I9" t="n">
        <v>3.557239220063688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input</t>
        </is>
      </c>
      <c r="C1" t="inlineStr">
        <is>
          <t>low value</t>
        </is>
      </c>
      <c r="D1" t="inlineStr">
        <is>
          <t>high value</t>
        </is>
      </c>
      <c r="E1" t="inlineStr">
        <is>
          <t>COGS at low</t>
        </is>
      </c>
      <c r="F1" t="inlineStr">
        <is>
          <t>COGS at high</t>
        </is>
      </c>
      <c r="G1" t="inlineStr">
        <is>
          <t>swing</t>
        </is>
      </c>
    </row>
    <row r="2">
      <c r="A2" t="inlineStr">
        <is>
          <t>A. Managed today (quality bar)</t>
        </is>
      </c>
      <c r="B2" t="inlineStr">
        <is>
          <t>fixed_platform_usd_mo</t>
        </is>
      </c>
      <c r="C2" t="n">
        <v>300</v>
      </c>
      <c r="D2" t="n">
        <v>2500</v>
      </c>
      <c r="E2" t="n">
        <v>4.059354729467773</v>
      </c>
      <c r="F2" t="n">
        <v>6.149354729467773</v>
      </c>
      <c r="G2" t="n">
        <v>2.09</v>
      </c>
    </row>
    <row r="3">
      <c r="A3" t="inlineStr">
        <is>
          <t>A. Managed today (quality bar)</t>
        </is>
      </c>
      <c r="B3" t="inlineStr">
        <is>
          <t>monthly_min</t>
        </is>
      </c>
      <c r="C3" t="n">
        <v>33333.33333333334</v>
      </c>
      <c r="D3" t="n">
        <v>300000</v>
      </c>
      <c r="E3" t="n">
        <v>6.054354729467773</v>
      </c>
      <c r="F3" t="n">
        <v>4.027688062801107</v>
      </c>
      <c r="G3" t="n">
        <v>2.026666666666666</v>
      </c>
    </row>
    <row r="4">
      <c r="A4" t="inlineStr">
        <is>
          <t>A. Managed today (quality bar)</t>
        </is>
      </c>
      <c r="B4" t="inlineStr">
        <is>
          <t>llm_cache_hit</t>
        </is>
      </c>
      <c r="C4" t="n">
        <v>0.6</v>
      </c>
      <c r="D4" t="n">
        <v>0.92</v>
      </c>
      <c r="E4" t="n">
        <v>5.509738729467774</v>
      </c>
      <c r="F4" t="n">
        <v>4.261247209467773</v>
      </c>
      <c r="G4" t="n">
        <v>1.248491520000001</v>
      </c>
    </row>
    <row r="5">
      <c r="A5" t="inlineStr">
        <is>
          <t>A. Managed today (quality bar)</t>
        </is>
      </c>
      <c r="B5" t="inlineStr">
        <is>
          <t>turns_per_min</t>
        </is>
      </c>
      <c r="C5" t="n">
        <v>3</v>
      </c>
      <c r="D5" t="n">
        <v>6</v>
      </c>
      <c r="E5" t="n">
        <v>4.216648129467774</v>
      </c>
      <c r="F5" t="n">
        <v>5.169767929467773</v>
      </c>
      <c r="G5" t="n">
        <v>0.9531197999999996</v>
      </c>
    </row>
    <row r="6">
      <c r="A6" t="inlineStr">
        <is>
          <t>A. Managed today (quality bar)</t>
        </is>
      </c>
      <c r="B6" t="inlineStr">
        <is>
          <t>asr_ref_factor</t>
        </is>
      </c>
      <c r="C6" t="n">
        <v>1</v>
      </c>
      <c r="D6" t="n">
        <v>2</v>
      </c>
      <c r="E6" t="n">
        <v>4.534354729467774</v>
      </c>
      <c r="F6" t="n">
        <v>5.389354729467773</v>
      </c>
      <c r="G6" t="n">
        <v>0.8549999999999995</v>
      </c>
    </row>
    <row r="7">
      <c r="A7" t="inlineStr">
        <is>
          <t>A. Managed today (quality bar)</t>
        </is>
      </c>
      <c r="B7" t="inlineStr">
        <is>
          <t>llm_sys_tok</t>
        </is>
      </c>
      <c r="C7" t="n">
        <v>2000</v>
      </c>
      <c r="D7" t="n">
        <v>5000</v>
      </c>
      <c r="E7" t="n">
        <v>4.285834729467774</v>
      </c>
      <c r="F7" t="n">
        <v>5.031394729467774</v>
      </c>
      <c r="G7" t="n">
        <v>0.7455600000000002</v>
      </c>
    </row>
    <row r="8">
      <c r="A8" t="inlineStr">
        <is>
          <t>A. Managed today (quality bar)</t>
        </is>
      </c>
      <c r="B8" t="inlineStr">
        <is>
          <t>llm_call_multiplier</t>
        </is>
      </c>
      <c r="C8" t="n">
        <v>1</v>
      </c>
      <c r="D8" t="n">
        <v>1.6</v>
      </c>
      <c r="E8" t="n">
        <v>4.322550329467774</v>
      </c>
      <c r="F8" t="n">
        <v>4.957963529467774</v>
      </c>
      <c r="G8" t="n">
        <v>0.6354132000000003</v>
      </c>
    </row>
    <row r="9">
      <c r="A9" t="inlineStr">
        <is>
          <t>A. Managed today (quality bar)</t>
        </is>
      </c>
      <c r="B9" t="inlineStr">
        <is>
          <t>agent_talk_share</t>
        </is>
      </c>
      <c r="C9" t="n">
        <v>0.35</v>
      </c>
      <c r="D9" t="n">
        <v>0.65</v>
      </c>
      <c r="E9" t="n">
        <v>4.258474729467773</v>
      </c>
      <c r="F9" t="n">
        <v>4.810234729467774</v>
      </c>
      <c r="G9" t="n">
        <v>0.5517600000000007</v>
      </c>
    </row>
    <row r="10">
      <c r="A10" t="inlineStr">
        <is>
          <t>A. Managed today (quality bar)</t>
        </is>
      </c>
      <c r="B10" t="inlineStr">
        <is>
          <t>tts_chars_per_agent_min</t>
        </is>
      </c>
      <c r="C10" t="n">
        <v>610</v>
      </c>
      <c r="D10" t="n">
        <v>1040</v>
      </c>
      <c r="E10" t="n">
        <v>4.315949729467773</v>
      </c>
      <c r="F10" t="n">
        <v>4.810234729467774</v>
      </c>
      <c r="G10" t="n">
        <v>0.4942850000000005</v>
      </c>
    </row>
    <row r="11">
      <c r="A11" t="inlineStr">
        <is>
          <t>A. Managed today (quality bar)</t>
        </is>
      </c>
      <c r="B11" t="inlineStr">
        <is>
          <t>fx_inr_per_usd</t>
        </is>
      </c>
      <c r="C11" t="n">
        <v>88</v>
      </c>
      <c r="D11" t="n">
        <v>97</v>
      </c>
      <c r="E11" t="n">
        <v>4.246481223085937</v>
      </c>
      <c r="F11" t="n">
        <v>4.616604302719726</v>
      </c>
      <c r="G11" t="n">
        <v>0.3701230796337889</v>
      </c>
    </row>
    <row r="12">
      <c r="A12" t="inlineStr">
        <is>
          <t>A. Managed today (quality bar)</t>
        </is>
      </c>
      <c r="B12" t="inlineStr">
        <is>
          <t>support_inr_per_min</t>
        </is>
      </c>
      <c r="C12" t="n">
        <v>0.05</v>
      </c>
      <c r="D12" t="n">
        <v>0.4</v>
      </c>
      <c r="E12" t="n">
        <v>4.434354729467773</v>
      </c>
      <c r="F12" t="n">
        <v>4.784354729467774</v>
      </c>
      <c r="G12" t="n">
        <v>0.3500000000000005</v>
      </c>
    </row>
    <row r="13">
      <c r="A13" t="inlineStr">
        <is>
          <t>A. Managed today (quality bar)</t>
        </is>
      </c>
      <c r="B13" t="inlineStr">
        <is>
          <t>llm_out_tok_per_turn</t>
        </is>
      </c>
      <c r="C13" t="n">
        <v>50</v>
      </c>
      <c r="D13" t="n">
        <v>110</v>
      </c>
      <c r="E13" t="n">
        <v>4.443154729467773</v>
      </c>
      <c r="F13" t="n">
        <v>4.716754729467773</v>
      </c>
      <c r="G13" t="n">
        <v>0.2736000000000001</v>
      </c>
    </row>
    <row r="14">
      <c r="A14" t="inlineStr">
        <is>
          <t>A. Managed today (quality bar)</t>
        </is>
      </c>
      <c r="B14" t="inlineStr">
        <is>
          <t>vl_tok_per_s</t>
        </is>
      </c>
      <c r="C14" t="n">
        <v>9.300000000000001</v>
      </c>
      <c r="D14" t="n">
        <v>12</v>
      </c>
      <c r="E14" t="n">
        <v>4.474504729467774</v>
      </c>
      <c r="F14" t="n">
        <v>4.705354729467773</v>
      </c>
      <c r="G14" t="n">
        <v>0.2308499999999993</v>
      </c>
    </row>
    <row r="15">
      <c r="A15" t="inlineStr">
        <is>
          <t>A. Managed today (quality bar)</t>
        </is>
      </c>
      <c r="B15" t="inlineStr">
        <is>
          <t>llm_ctx_tok</t>
        </is>
      </c>
      <c r="C15" t="n">
        <v>100</v>
      </c>
      <c r="D15" t="n">
        <v>1000</v>
      </c>
      <c r="E15" t="n">
        <v>4.484650729467774</v>
      </c>
      <c r="F15" t="n">
        <v>4.708318729467774</v>
      </c>
      <c r="G15" t="n">
        <v>0.223668</v>
      </c>
    </row>
    <row r="16">
      <c r="A16" t="inlineStr">
        <is>
          <t>A. Managed today (quality bar)</t>
        </is>
      </c>
      <c r="B16" t="inlineStr">
        <is>
          <t>tts_waste</t>
        </is>
      </c>
      <c r="C16" t="n">
        <v>1</v>
      </c>
      <c r="D16" t="n">
        <v>1.25</v>
      </c>
      <c r="E16" t="n">
        <v>4.450754729467773</v>
      </c>
      <c r="F16" t="n">
        <v>4.659754729467774</v>
      </c>
      <c r="G16" t="n">
        <v>0.2090000000000005</v>
      </c>
    </row>
    <row r="17">
      <c r="A17" t="inlineStr">
        <is>
          <t>A. Managed today (quality bar)</t>
        </is>
      </c>
      <c r="B17" t="inlineStr">
        <is>
          <t>llm_hist_tok</t>
        </is>
      </c>
      <c r="C17" t="n">
        <v>200</v>
      </c>
      <c r="D17" t="n">
        <v>800</v>
      </c>
      <c r="E17" t="n">
        <v>4.484650729467774</v>
      </c>
      <c r="F17" t="n">
        <v>4.633762729467773</v>
      </c>
      <c r="G17" t="n">
        <v>0.1491119999999997</v>
      </c>
    </row>
    <row r="18">
      <c r="A18" t="inlineStr">
        <is>
          <t>A. Managed today (quality bar)</t>
        </is>
      </c>
      <c r="B18" t="inlineStr">
        <is>
          <t>avg_call_min</t>
        </is>
      </c>
      <c r="C18" t="n">
        <v>1</v>
      </c>
      <c r="D18" t="n">
        <v>3.5</v>
      </c>
      <c r="E18" t="n">
        <v>4.607979729467774</v>
      </c>
      <c r="F18" t="n">
        <v>4.502801158039202</v>
      </c>
      <c r="G18" t="n">
        <v>0.1051785714285716</v>
      </c>
    </row>
    <row r="19">
      <c r="A19" t="inlineStr">
        <is>
          <t>A. Managed today (quality bar)</t>
        </is>
      </c>
      <c r="B19" t="inlineStr">
        <is>
          <t>tts_cache_share</t>
        </is>
      </c>
      <c r="C19" t="n">
        <v>0</v>
      </c>
      <c r="D19" t="n">
        <v>0.1</v>
      </c>
      <c r="E19" t="n">
        <v>4.534354729467774</v>
      </c>
      <c r="F19" t="n">
        <v>4.442394729467773</v>
      </c>
      <c r="G19" t="n">
        <v>0.09196000000000026</v>
      </c>
    </row>
    <row r="20">
      <c r="A20" t="inlineStr">
        <is>
          <t>A. Managed today (quality bar)</t>
        </is>
      </c>
      <c r="B20" t="inlineStr">
        <is>
          <t>infra_vcpu_per_call</t>
        </is>
      </c>
      <c r="C20" t="n">
        <v>0.1</v>
      </c>
      <c r="D20" t="n">
        <v>0.5</v>
      </c>
      <c r="E20" t="n">
        <v>4.503574729467774</v>
      </c>
      <c r="F20" t="n">
        <v>4.585654729467773</v>
      </c>
      <c r="G20" t="n">
        <v>0.08207999999999949</v>
      </c>
    </row>
    <row r="21">
      <c r="A21" t="inlineStr">
        <is>
          <t>A. Managed today (quality bar)</t>
        </is>
      </c>
      <c r="B21" t="inlineStr">
        <is>
          <t>minutes_per_number_mo</t>
        </is>
      </c>
      <c r="C21" t="n">
        <v>2000</v>
      </c>
      <c r="D21" t="n">
        <v>10000</v>
      </c>
      <c r="E21" t="n">
        <v>4.584354729467774</v>
      </c>
      <c r="F21" t="n">
        <v>4.504354729467773</v>
      </c>
      <c r="G21" t="n">
        <v>0.08000000000000007</v>
      </c>
    </row>
    <row r="22">
      <c r="A22" t="inlineStr">
        <is>
          <t>A. Managed today (quality bar)</t>
        </is>
      </c>
      <c r="B22" t="inlineStr">
        <is>
          <t>infra_headroom</t>
        </is>
      </c>
      <c r="C22" t="n">
        <v>1.2</v>
      </c>
      <c r="D22" t="n">
        <v>2.5</v>
      </c>
      <c r="E22" t="n">
        <v>4.521529729467773</v>
      </c>
      <c r="F22" t="n">
        <v>4.577104729467774</v>
      </c>
      <c r="G22" t="n">
        <v>0.05557500000000015</v>
      </c>
    </row>
    <row r="23">
      <c r="A23" t="inlineStr">
        <is>
          <t>A. Managed today (quality bar)</t>
        </is>
      </c>
      <c r="B23" t="inlineStr">
        <is>
          <t>pulse_s</t>
        </is>
      </c>
      <c r="C23" t="n">
        <v>30</v>
      </c>
      <c r="D23" t="n">
        <v>60</v>
      </c>
      <c r="E23" t="n">
        <v>4.534354729467774</v>
      </c>
      <c r="F23" t="n">
        <v>4.581854729467773</v>
      </c>
      <c r="G23" t="n">
        <v>0.04749999999999943</v>
      </c>
    </row>
    <row r="24">
      <c r="A24" t="inlineStr">
        <is>
          <t>A. Managed today (quality bar)</t>
        </is>
      </c>
      <c r="B24" t="inlineStr">
        <is>
          <t>rec_mb_per_min</t>
        </is>
      </c>
      <c r="C24" t="n">
        <v>0.12</v>
      </c>
      <c r="D24" t="n">
        <v>1.92</v>
      </c>
      <c r="E24" t="n">
        <v>4.531682854467774</v>
      </c>
      <c r="F24" t="n">
        <v>4.571760979467774</v>
      </c>
      <c r="G24" t="n">
        <v>0.04007812499999996</v>
      </c>
    </row>
    <row r="25">
      <c r="A25" t="inlineStr">
        <is>
          <t>A. Managed today (quality bar)</t>
        </is>
      </c>
      <c r="B25" t="inlineStr">
        <is>
          <t>post_call_tok</t>
        </is>
      </c>
      <c r="C25" t="n">
        <v>2000</v>
      </c>
      <c r="D25" t="n">
        <v>8000</v>
      </c>
      <c r="E25" t="n">
        <v>4.524854729467774</v>
      </c>
      <c r="F25" t="n">
        <v>4.553354729467774</v>
      </c>
      <c r="G25" t="n">
        <v>0.02850000000000019</v>
      </c>
    </row>
    <row r="26">
      <c r="A26" t="inlineStr">
        <is>
          <t>A. Managed today (quality bar)</t>
        </is>
      </c>
      <c r="B26" t="inlineStr">
        <is>
          <t>log_kb_per_min</t>
        </is>
      </c>
      <c r="C26" t="n">
        <v>5</v>
      </c>
      <c r="D26" t="n">
        <v>100</v>
      </c>
      <c r="E26" t="n">
        <v>4.529978794866944</v>
      </c>
      <c r="F26" t="n">
        <v>4.557693047338867</v>
      </c>
      <c r="G26" t="n">
        <v>0.02771425247192383</v>
      </c>
    </row>
    <row r="27">
      <c r="A27" t="inlineStr">
        <is>
          <t>A. Managed today (quality bar)</t>
        </is>
      </c>
      <c r="B27" t="inlineStr">
        <is>
          <t>guard_in_tok_per_turn</t>
        </is>
      </c>
      <c r="C27" t="n">
        <v>800</v>
      </c>
      <c r="D27" t="n">
        <v>2500</v>
      </c>
      <c r="E27" t="n">
        <v>4.523821129467773</v>
      </c>
      <c r="F27" t="n">
        <v>4.549402729467773</v>
      </c>
      <c r="G27" t="n">
        <v>0.02558159999999976</v>
      </c>
    </row>
    <row r="28">
      <c r="A28" t="inlineStr">
        <is>
          <t>A. Managed today (quality bar)</t>
        </is>
      </c>
      <c r="B28" t="inlineStr">
        <is>
          <t>infra_gib_per_call</t>
        </is>
      </c>
      <c r="C28" t="n">
        <v>0.25</v>
      </c>
      <c r="D28" t="n">
        <v>1</v>
      </c>
      <c r="E28" t="n">
        <v>4.527942229467773</v>
      </c>
      <c r="F28" t="n">
        <v>4.547179729467773</v>
      </c>
      <c r="G28" t="n">
        <v>0.01923750000000002</v>
      </c>
    </row>
    <row r="29">
      <c r="A29" t="inlineStr">
        <is>
          <t>A. Managed today (quality bar)</t>
        </is>
      </c>
      <c r="B29" t="inlineStr">
        <is>
          <t>rec_retention_mo</t>
        </is>
      </c>
      <c r="C29" t="n">
        <v>3</v>
      </c>
      <c r="D29" t="n">
        <v>36</v>
      </c>
      <c r="E29" t="n">
        <v>4.530346916967773</v>
      </c>
      <c r="F29" t="n">
        <v>4.545042229467773</v>
      </c>
      <c r="G29" t="n">
        <v>0.01469531249999978</v>
      </c>
    </row>
    <row r="30">
      <c r="A30" t="inlineStr">
        <is>
          <t>B. Managed optimised</t>
        </is>
      </c>
      <c r="B30" t="inlineStr">
        <is>
          <t>asr_ref_factor</t>
        </is>
      </c>
      <c r="C30" t="n">
        <v>1</v>
      </c>
      <c r="D30" t="n">
        <v>2</v>
      </c>
      <c r="E30" t="n">
        <v>2.565653485023329</v>
      </c>
      <c r="F30" t="n">
        <v>3.278153485023329</v>
      </c>
      <c r="G30" t="n">
        <v>0.7124999999999999</v>
      </c>
    </row>
    <row r="31">
      <c r="A31" t="inlineStr">
        <is>
          <t>B. Managed optimised</t>
        </is>
      </c>
      <c r="B31" t="inlineStr">
        <is>
          <t>turns_per_min</t>
        </is>
      </c>
      <c r="C31" t="n">
        <v>3</v>
      </c>
      <c r="D31" t="n">
        <v>6</v>
      </c>
      <c r="E31" t="n">
        <v>2.345736085023329</v>
      </c>
      <c r="F31" t="n">
        <v>3.005488285023329</v>
      </c>
      <c r="G31" t="n">
        <v>0.6597521999999998</v>
      </c>
    </row>
    <row r="32">
      <c r="A32" t="inlineStr">
        <is>
          <t>B. Managed optimised</t>
        </is>
      </c>
      <c r="B32" t="inlineStr">
        <is>
          <t>llm_call_multiplier</t>
        </is>
      </c>
      <c r="C32" t="n">
        <v>1</v>
      </c>
      <c r="D32" t="n">
        <v>1.6</v>
      </c>
      <c r="E32" t="n">
        <v>2.419041885023329</v>
      </c>
      <c r="F32" t="n">
        <v>2.858876685023329</v>
      </c>
      <c r="G32" t="n">
        <v>0.4398348000000003</v>
      </c>
    </row>
    <row r="33">
      <c r="A33" t="inlineStr">
        <is>
          <t>B. Managed optimised</t>
        </is>
      </c>
      <c r="B33" t="inlineStr">
        <is>
          <t>llm_cache_hit</t>
        </is>
      </c>
      <c r="C33" t="n">
        <v>0.8</v>
      </c>
      <c r="D33" t="n">
        <v>0.95</v>
      </c>
      <c r="E33" t="n">
        <v>2.850927085023329</v>
      </c>
      <c r="F33" t="n">
        <v>2.423016685023329</v>
      </c>
      <c r="G33" t="n">
        <v>0.4279104</v>
      </c>
    </row>
    <row r="34">
      <c r="A34" t="inlineStr">
        <is>
          <t>B. Managed optimised</t>
        </is>
      </c>
      <c r="B34" t="inlineStr">
        <is>
          <t>support_inr_per_min</t>
        </is>
      </c>
      <c r="C34" t="n">
        <v>0.05</v>
      </c>
      <c r="D34" t="n">
        <v>0.4</v>
      </c>
      <c r="E34" t="n">
        <v>2.465653485023329</v>
      </c>
      <c r="F34" t="n">
        <v>2.815653485023329</v>
      </c>
      <c r="G34" t="n">
        <v>0.3500000000000001</v>
      </c>
    </row>
    <row r="35">
      <c r="A35" t="inlineStr">
        <is>
          <t>B. Managed optimised</t>
        </is>
      </c>
      <c r="B35" t="inlineStr">
        <is>
          <t>llm_sys_tok</t>
        </is>
      </c>
      <c r="C35" t="n">
        <v>1500</v>
      </c>
      <c r="D35" t="n">
        <v>3000</v>
      </c>
      <c r="E35" t="n">
        <v>2.467613485023329</v>
      </c>
      <c r="F35" t="n">
        <v>2.761733485023329</v>
      </c>
      <c r="G35" t="n">
        <v>0.2941200000000004</v>
      </c>
    </row>
    <row r="36">
      <c r="A36" t="inlineStr">
        <is>
          <t>B. Managed optimised</t>
        </is>
      </c>
      <c r="B36" t="inlineStr">
        <is>
          <t>monthly_min</t>
        </is>
      </c>
      <c r="C36" t="n">
        <v>333333.3333333333</v>
      </c>
      <c r="D36" t="n">
        <v>3000000</v>
      </c>
      <c r="E36" t="n">
        <v>2.72446459613444</v>
      </c>
      <c r="F36" t="n">
        <v>2.449778947986292</v>
      </c>
      <c r="G36" t="n">
        <v>0.2746856481481483</v>
      </c>
    </row>
    <row r="37">
      <c r="A37" t="inlineStr">
        <is>
          <t>B. Managed optimised</t>
        </is>
      </c>
      <c r="B37" t="inlineStr">
        <is>
          <t>llm_out_tok_per_turn</t>
        </is>
      </c>
      <c r="C37" t="n">
        <v>50</v>
      </c>
      <c r="D37" t="n">
        <v>110</v>
      </c>
      <c r="E37" t="n">
        <v>2.474453485023329</v>
      </c>
      <c r="F37" t="n">
        <v>2.748053485023329</v>
      </c>
      <c r="G37" t="n">
        <v>0.2736000000000005</v>
      </c>
    </row>
    <row r="38">
      <c r="A38" t="inlineStr">
        <is>
          <t>B. Managed optimised</t>
        </is>
      </c>
      <c r="B38" t="inlineStr">
        <is>
          <t>tata_fup_use</t>
        </is>
      </c>
      <c r="C38" t="n">
        <v>0.5</v>
      </c>
      <c r="D38" t="n">
        <v>1</v>
      </c>
      <c r="E38" t="n">
        <v>2.730653485023329</v>
      </c>
      <c r="F38" t="n">
        <v>2.510653485023329</v>
      </c>
      <c r="G38" t="n">
        <v>0.2199999999999998</v>
      </c>
    </row>
    <row r="39">
      <c r="A39" t="inlineStr">
        <is>
          <t>B. Managed optimised</t>
        </is>
      </c>
      <c r="B39" t="inlineStr">
        <is>
          <t>fixed_platform_usd_mo</t>
        </is>
      </c>
      <c r="C39" t="n">
        <v>300</v>
      </c>
      <c r="D39" t="n">
        <v>2500</v>
      </c>
      <c r="E39" t="n">
        <v>2.518153485023329</v>
      </c>
      <c r="F39" t="n">
        <v>2.727153485023329</v>
      </c>
      <c r="G39" t="n">
        <v>0.2090000000000001</v>
      </c>
    </row>
    <row r="40">
      <c r="A40" t="inlineStr">
        <is>
          <t>B. Managed optimised</t>
        </is>
      </c>
      <c r="B40" t="inlineStr">
        <is>
          <t>fx_inr_per_usd</t>
        </is>
      </c>
      <c r="C40" t="n">
        <v>88</v>
      </c>
      <c r="D40" t="n">
        <v>97</v>
      </c>
      <c r="E40" t="n">
        <v>2.407962058641493</v>
      </c>
      <c r="F40" t="n">
        <v>2.610708178275282</v>
      </c>
      <c r="G40" t="n">
        <v>0.202746119633789</v>
      </c>
    </row>
    <row r="41">
      <c r="A41" t="inlineStr">
        <is>
          <t>B. Managed optimised</t>
        </is>
      </c>
      <c r="B41" t="inlineStr">
        <is>
          <t>vl_tok_per_s</t>
        </is>
      </c>
      <c r="C41" t="n">
        <v>9.300000000000001</v>
      </c>
      <c r="D41" t="n">
        <v>12</v>
      </c>
      <c r="E41" t="n">
        <v>2.515778485023329</v>
      </c>
      <c r="F41" t="n">
        <v>2.708153485023329</v>
      </c>
      <c r="G41" t="n">
        <v>0.1923749999999997</v>
      </c>
    </row>
    <row r="42">
      <c r="A42" t="inlineStr">
        <is>
          <t>B. Managed optimised</t>
        </is>
      </c>
      <c r="B42" t="inlineStr">
        <is>
          <t>llm_ctx_tok</t>
        </is>
      </c>
      <c r="C42" t="n">
        <v>100</v>
      </c>
      <c r="D42" t="n">
        <v>1000</v>
      </c>
      <c r="E42" t="n">
        <v>2.526437485023329</v>
      </c>
      <c r="F42" t="n">
        <v>2.702909485023329</v>
      </c>
      <c r="G42" t="n">
        <v>0.176472</v>
      </c>
    </row>
    <row r="43">
      <c r="A43" t="inlineStr">
        <is>
          <t>B. Managed optimised</t>
        </is>
      </c>
      <c r="B43" t="inlineStr">
        <is>
          <t>agent_talk_share</t>
        </is>
      </c>
      <c r="C43" t="n">
        <v>0.35</v>
      </c>
      <c r="D43" t="n">
        <v>0.65</v>
      </c>
      <c r="E43" t="n">
        <v>2.458493485023329</v>
      </c>
      <c r="F43" t="n">
        <v>2.592514735023329</v>
      </c>
      <c r="G43" t="n">
        <v>0.13402125</v>
      </c>
    </row>
    <row r="44">
      <c r="A44" t="inlineStr">
        <is>
          <t>B. Managed optimised</t>
        </is>
      </c>
      <c r="B44" t="inlineStr">
        <is>
          <t>llm_hist_tok</t>
        </is>
      </c>
      <c r="C44" t="n">
        <v>200</v>
      </c>
      <c r="D44" t="n">
        <v>800</v>
      </c>
      <c r="E44" t="n">
        <v>2.526437485023329</v>
      </c>
      <c r="F44" t="n">
        <v>2.644085485023329</v>
      </c>
      <c r="G44" t="n">
        <v>0.117648</v>
      </c>
    </row>
    <row r="45">
      <c r="A45" t="inlineStr">
        <is>
          <t>B. Managed optimised</t>
        </is>
      </c>
      <c r="B45" t="inlineStr">
        <is>
          <t>tts_chars_per_agent_min</t>
        </is>
      </c>
      <c r="C45" t="n">
        <v>610</v>
      </c>
      <c r="D45" t="n">
        <v>1040</v>
      </c>
      <c r="E45" t="n">
        <v>2.482005985023329</v>
      </c>
      <c r="F45" t="n">
        <v>2.592514735023329</v>
      </c>
      <c r="G45" t="n">
        <v>0.1105087500000002</v>
      </c>
    </row>
    <row r="46">
      <c r="A46" t="inlineStr">
        <is>
          <t>B. Managed optimised</t>
        </is>
      </c>
      <c r="B46" t="inlineStr">
        <is>
          <t>infra_vcpu_per_call</t>
        </is>
      </c>
      <c r="C46" t="n">
        <v>0.1</v>
      </c>
      <c r="D46" t="n">
        <v>0.5</v>
      </c>
      <c r="E46" t="n">
        <v>2.534873485023329</v>
      </c>
      <c r="F46" t="n">
        <v>2.616953485023329</v>
      </c>
      <c r="G46" t="n">
        <v>0.08207999999999993</v>
      </c>
    </row>
    <row r="47">
      <c r="A47" t="inlineStr">
        <is>
          <t>B. Managed optimised</t>
        </is>
      </c>
      <c r="B47" t="inlineStr">
        <is>
          <t>infra_headroom</t>
        </is>
      </c>
      <c r="C47" t="n">
        <v>1.2</v>
      </c>
      <c r="D47" t="n">
        <v>2.5</v>
      </c>
      <c r="E47" t="n">
        <v>2.552828485023329</v>
      </c>
      <c r="F47" t="n">
        <v>2.608403485023329</v>
      </c>
      <c r="G47" t="n">
        <v>0.05557500000000015</v>
      </c>
    </row>
    <row r="48">
      <c r="A48" t="inlineStr">
        <is>
          <t>B. Managed optimised</t>
        </is>
      </c>
      <c r="B48" t="inlineStr">
        <is>
          <t>tts_cache_share</t>
        </is>
      </c>
      <c r="C48" t="n">
        <v>0.1</v>
      </c>
      <c r="D48" t="n">
        <v>0.35</v>
      </c>
      <c r="E48" t="n">
        <v>2.565653485023329</v>
      </c>
      <c r="F48" t="n">
        <v>2.521193485023329</v>
      </c>
      <c r="G48" t="n">
        <v>0.04445999999999994</v>
      </c>
    </row>
    <row r="49">
      <c r="A49" t="inlineStr">
        <is>
          <t>B. Managed optimised</t>
        </is>
      </c>
      <c r="B49" t="inlineStr">
        <is>
          <t>rec_mb_per_min</t>
        </is>
      </c>
      <c r="C49" t="n">
        <v>0.12</v>
      </c>
      <c r="D49" t="n">
        <v>1.92</v>
      </c>
      <c r="E49" t="n">
        <v>2.562981610023329</v>
      </c>
      <c r="F49" t="n">
        <v>2.603059735023329</v>
      </c>
      <c r="G49" t="n">
        <v>0.04007812499999996</v>
      </c>
    </row>
    <row r="50">
      <c r="A50" t="inlineStr">
        <is>
          <t>B. Managed optimised</t>
        </is>
      </c>
      <c r="B50" t="inlineStr">
        <is>
          <t>avg_call_min</t>
        </is>
      </c>
      <c r="C50" t="n">
        <v>1</v>
      </c>
      <c r="D50" t="n">
        <v>3.5</v>
      </c>
      <c r="E50" t="n">
        <v>2.591778485023329</v>
      </c>
      <c r="F50" t="n">
        <v>2.5544570564519</v>
      </c>
      <c r="G50" t="n">
        <v>0.03732142857142851</v>
      </c>
    </row>
    <row r="51">
      <c r="A51" t="inlineStr">
        <is>
          <t>B. Managed optimised</t>
        </is>
      </c>
      <c r="B51" t="inlineStr">
        <is>
          <t>post_call_tok</t>
        </is>
      </c>
      <c r="C51" t="n">
        <v>2000</v>
      </c>
      <c r="D51" t="n">
        <v>8000</v>
      </c>
      <c r="E51" t="n">
        <v>2.556153485023329</v>
      </c>
      <c r="F51" t="n">
        <v>2.584653485023329</v>
      </c>
      <c r="G51" t="n">
        <v>0.02850000000000019</v>
      </c>
    </row>
    <row r="52">
      <c r="A52" t="inlineStr">
        <is>
          <t>B. Managed optimised</t>
        </is>
      </c>
      <c r="B52" t="inlineStr">
        <is>
          <t>tts_waste</t>
        </is>
      </c>
      <c r="C52" t="n">
        <v>1</v>
      </c>
      <c r="D52" t="n">
        <v>1.25</v>
      </c>
      <c r="E52" t="n">
        <v>2.537153485023329</v>
      </c>
      <c r="F52" t="n">
        <v>2.565653485023329</v>
      </c>
      <c r="G52" t="n">
        <v>0.02849999999999975</v>
      </c>
    </row>
    <row r="53">
      <c r="A53" t="inlineStr">
        <is>
          <t>B. Managed optimised</t>
        </is>
      </c>
      <c r="B53" t="inlineStr">
        <is>
          <t>log_kb_per_min</t>
        </is>
      </c>
      <c r="C53" t="n">
        <v>5</v>
      </c>
      <c r="D53" t="n">
        <v>100</v>
      </c>
      <c r="E53" t="n">
        <v>2.561277550422499</v>
      </c>
      <c r="F53" t="n">
        <v>2.588991802894423</v>
      </c>
      <c r="G53" t="n">
        <v>0.02771425247192383</v>
      </c>
    </row>
    <row r="54">
      <c r="A54" t="inlineStr">
        <is>
          <t>B. Managed optimised</t>
        </is>
      </c>
      <c r="B54" t="inlineStr">
        <is>
          <t>guard_in_tok_per_turn</t>
        </is>
      </c>
      <c r="C54" t="n">
        <v>800</v>
      </c>
      <c r="D54" t="n">
        <v>2500</v>
      </c>
      <c r="E54" t="n">
        <v>2.555119885023329</v>
      </c>
      <c r="F54" t="n">
        <v>2.580701485023329</v>
      </c>
      <c r="G54" t="n">
        <v>0.0255816000000002</v>
      </c>
    </row>
    <row r="55">
      <c r="A55" t="inlineStr">
        <is>
          <t>B. Managed optimised</t>
        </is>
      </c>
      <c r="B55" t="inlineStr">
        <is>
          <t>infra_gib_per_call</t>
        </is>
      </c>
      <c r="C55" t="n">
        <v>0.25</v>
      </c>
      <c r="D55" t="n">
        <v>1</v>
      </c>
      <c r="E55" t="n">
        <v>2.559240985023329</v>
      </c>
      <c r="F55" t="n">
        <v>2.578478485023329</v>
      </c>
      <c r="G55" t="n">
        <v>0.01923750000000002</v>
      </c>
    </row>
    <row r="56">
      <c r="A56" t="inlineStr">
        <is>
          <t>B. Managed optimised</t>
        </is>
      </c>
      <c r="B56" t="inlineStr">
        <is>
          <t>rec_retention_mo</t>
        </is>
      </c>
      <c r="C56" t="n">
        <v>3</v>
      </c>
      <c r="D56" t="n">
        <v>36</v>
      </c>
      <c r="E56" t="n">
        <v>2.561645672523329</v>
      </c>
      <c r="F56" t="n">
        <v>2.576340985023329</v>
      </c>
      <c r="G56" t="n">
        <v>0.01469531249999978</v>
      </c>
    </row>
    <row r="57">
      <c r="A57" t="inlineStr">
        <is>
          <t>B. Managed optimised</t>
        </is>
      </c>
      <c r="B57" t="inlineStr">
        <is>
          <t>minutes_per_number_mo</t>
        </is>
      </c>
      <c r="C57" t="n">
        <v>2000</v>
      </c>
      <c r="D57" t="n">
        <v>10000</v>
      </c>
      <c r="E57" t="n">
        <v>2.565653485023329</v>
      </c>
      <c r="F57" t="n">
        <v>2.565653485023329</v>
      </c>
      <c r="G57" t="n">
        <v>0</v>
      </c>
    </row>
    <row r="58">
      <c r="A58" t="inlineStr">
        <is>
          <t>D. Self-hosted at scale (ASR+TTS on H100, managed LLM)</t>
        </is>
      </c>
      <c r="B58" t="inlineStr">
        <is>
          <t>monthly_min</t>
        </is>
      </c>
      <c r="C58" t="n">
        <v>1666666.666666667</v>
      </c>
      <c r="D58" t="n">
        <v>15000000</v>
      </c>
      <c r="E58" t="n">
        <v>2.73207659613444</v>
      </c>
      <c r="F58" t="n">
        <v>1.681948144549772</v>
      </c>
      <c r="G58" t="n">
        <v>1.050128451584667</v>
      </c>
    </row>
    <row r="59">
      <c r="A59" t="inlineStr">
        <is>
          <t>D. Self-hosted at scale (ASR+TTS on H100, managed LLM)</t>
        </is>
      </c>
      <c r="B59" t="inlineStr">
        <is>
          <t>turns_per_min</t>
        </is>
      </c>
      <c r="C59" t="n">
        <v>3</v>
      </c>
      <c r="D59" t="n">
        <v>6</v>
      </c>
      <c r="E59" t="n">
        <v>1.628173418356662</v>
      </c>
      <c r="F59" t="n">
        <v>2.287925618356662</v>
      </c>
      <c r="G59" t="n">
        <v>0.6597521999999996</v>
      </c>
    </row>
    <row r="60">
      <c r="A60" t="inlineStr">
        <is>
          <t>D. Self-hosted at scale (ASR+TTS on H100, managed LLM)</t>
        </is>
      </c>
      <c r="B60" t="inlineStr">
        <is>
          <t>llm_call_multiplier</t>
        </is>
      </c>
      <c r="C60" t="n">
        <v>1</v>
      </c>
      <c r="D60" t="n">
        <v>1.6</v>
      </c>
      <c r="E60" t="n">
        <v>1.701479218356662</v>
      </c>
      <c r="F60" t="n">
        <v>2.141314018356662</v>
      </c>
      <c r="G60" t="n">
        <v>0.4398348000000001</v>
      </c>
    </row>
    <row r="61">
      <c r="A61" t="inlineStr">
        <is>
          <t>D. Self-hosted at scale (ASR+TTS on H100, managed LLM)</t>
        </is>
      </c>
      <c r="B61" t="inlineStr">
        <is>
          <t>llm_cache_hit</t>
        </is>
      </c>
      <c r="C61" t="n">
        <v>0.8</v>
      </c>
      <c r="D61" t="n">
        <v>0.95</v>
      </c>
      <c r="E61" t="n">
        <v>2.133364418356662</v>
      </c>
      <c r="F61" t="n">
        <v>1.705454018356662</v>
      </c>
      <c r="G61" t="n">
        <v>0.4279103999999998</v>
      </c>
    </row>
    <row r="62">
      <c r="A62" t="inlineStr">
        <is>
          <t>D. Self-hosted at scale (ASR+TTS on H100, managed LLM)</t>
        </is>
      </c>
      <c r="B62" t="inlineStr">
        <is>
          <t>support_inr_per_min</t>
        </is>
      </c>
      <c r="C62" t="n">
        <v>0.05</v>
      </c>
      <c r="D62" t="n">
        <v>0.4</v>
      </c>
      <c r="E62" t="n">
        <v>1.748090818356662</v>
      </c>
      <c r="F62" t="n">
        <v>2.098090818356662</v>
      </c>
      <c r="G62" t="n">
        <v>0.3500000000000003</v>
      </c>
    </row>
    <row r="63">
      <c r="A63" t="inlineStr">
        <is>
          <t>D. Self-hosted at scale (ASR+TTS on H100, managed LLM)</t>
        </is>
      </c>
      <c r="B63" t="inlineStr">
        <is>
          <t>llm_sys_tok</t>
        </is>
      </c>
      <c r="C63" t="n">
        <v>1500</v>
      </c>
      <c r="D63" t="n">
        <v>3000</v>
      </c>
      <c r="E63" t="n">
        <v>1.750050818356662</v>
      </c>
      <c r="F63" t="n">
        <v>2.044170818356662</v>
      </c>
      <c r="G63" t="n">
        <v>0.2941200000000002</v>
      </c>
    </row>
    <row r="64">
      <c r="A64" t="inlineStr">
        <is>
          <t>D. Self-hosted at scale (ASR+TTS on H100, managed LLM)</t>
        </is>
      </c>
      <c r="B64" t="inlineStr">
        <is>
          <t>llm_out_tok_per_turn</t>
        </is>
      </c>
      <c r="C64" t="n">
        <v>50</v>
      </c>
      <c r="D64" t="n">
        <v>110</v>
      </c>
      <c r="E64" t="n">
        <v>1.756890818356662</v>
      </c>
      <c r="F64" t="n">
        <v>2.030490818356662</v>
      </c>
      <c r="G64" t="n">
        <v>0.2736000000000003</v>
      </c>
    </row>
    <row r="65">
      <c r="A65" t="inlineStr">
        <is>
          <t>D. Self-hosted at scale (ASR+TTS on H100, managed LLM)</t>
        </is>
      </c>
      <c r="B65" t="inlineStr">
        <is>
          <t>tata_fup_use</t>
        </is>
      </c>
      <c r="C65" t="n">
        <v>0.5</v>
      </c>
      <c r="D65" t="n">
        <v>1</v>
      </c>
      <c r="E65" t="n">
        <v>2.013090818356662</v>
      </c>
      <c r="F65" t="n">
        <v>1.793090818356662</v>
      </c>
      <c r="G65" t="n">
        <v>0.2199999999999998</v>
      </c>
    </row>
    <row r="66">
      <c r="A66" t="inlineStr">
        <is>
          <t>D. Self-hosted at scale (ASR+TTS on H100, managed LLM)</t>
        </is>
      </c>
      <c r="B66" t="inlineStr">
        <is>
          <t>llm_ctx_tok</t>
        </is>
      </c>
      <c r="C66" t="n">
        <v>100</v>
      </c>
      <c r="D66" t="n">
        <v>1000</v>
      </c>
      <c r="E66" t="n">
        <v>1.808874818356662</v>
      </c>
      <c r="F66" t="n">
        <v>1.985346818356662</v>
      </c>
      <c r="G66" t="n">
        <v>0.176472</v>
      </c>
    </row>
    <row r="67">
      <c r="A67" t="inlineStr">
        <is>
          <t>D. Self-hosted at scale (ASR+TTS on H100, managed LLM)</t>
        </is>
      </c>
      <c r="B67" t="inlineStr">
        <is>
          <t>fx_inr_per_usd</t>
        </is>
      </c>
      <c r="C67" t="n">
        <v>88</v>
      </c>
      <c r="D67" t="n">
        <v>97</v>
      </c>
      <c r="E67" t="n">
        <v>1.750608103085938</v>
      </c>
      <c r="F67" t="n">
        <v>1.875943022719726</v>
      </c>
      <c r="G67" t="n">
        <v>0.125334919633789</v>
      </c>
    </row>
    <row r="68">
      <c r="A68" t="inlineStr">
        <is>
          <t>D. Self-hosted at scale (ASR+TTS on H100, managed LLM)</t>
        </is>
      </c>
      <c r="B68" t="inlineStr">
        <is>
          <t>gpu_ops_inr_mo</t>
        </is>
      </c>
      <c r="C68" t="n">
        <v>300000</v>
      </c>
      <c r="D68" t="n">
        <v>900000</v>
      </c>
      <c r="E68" t="n">
        <v>1.808090818356662</v>
      </c>
      <c r="F68" t="n">
        <v>1.928090818356662</v>
      </c>
      <c r="G68" t="n">
        <v>0.1200000000000001</v>
      </c>
    </row>
    <row r="69">
      <c r="A69" t="inlineStr">
        <is>
          <t>D. Self-hosted at scale (ASR+TTS on H100, managed LLM)</t>
        </is>
      </c>
      <c r="B69" t="inlineStr">
        <is>
          <t>llm_hist_tok</t>
        </is>
      </c>
      <c r="C69" t="n">
        <v>200</v>
      </c>
      <c r="D69" t="n">
        <v>800</v>
      </c>
      <c r="E69" t="n">
        <v>1.808874818356662</v>
      </c>
      <c r="F69" t="n">
        <v>1.926522818356662</v>
      </c>
      <c r="G69" t="n">
        <v>0.117648</v>
      </c>
    </row>
    <row r="70">
      <c r="A70" t="inlineStr">
        <is>
          <t>D. Self-hosted at scale (ASR+TTS on H100, managed LLM)</t>
        </is>
      </c>
      <c r="B70" t="inlineStr">
        <is>
          <t>gpu_util</t>
        </is>
      </c>
      <c r="C70" t="n">
        <v>0.2</v>
      </c>
      <c r="D70" t="n">
        <v>0.55</v>
      </c>
      <c r="E70" t="n">
        <v>1.939479713522357</v>
      </c>
      <c r="F70" t="n">
        <v>1.848090818356662</v>
      </c>
      <c r="G70" t="n">
        <v>0.09138889516569493</v>
      </c>
    </row>
    <row r="71">
      <c r="A71" t="inlineStr">
        <is>
          <t>D. Self-hosted at scale (ASR+TTS on H100, managed LLM)</t>
        </is>
      </c>
      <c r="B71" t="inlineStr">
        <is>
          <t>infra_vcpu_per_call</t>
        </is>
      </c>
      <c r="C71" t="n">
        <v>0.1</v>
      </c>
      <c r="D71" t="n">
        <v>0.5</v>
      </c>
      <c r="E71" t="n">
        <v>1.817310818356662</v>
      </c>
      <c r="F71" t="n">
        <v>1.899390818356662</v>
      </c>
      <c r="G71" t="n">
        <v>0.08207999999999993</v>
      </c>
    </row>
    <row r="72">
      <c r="A72" t="inlineStr">
        <is>
          <t>D. Self-hosted at scale (ASR+TTS on H100, managed LLM)</t>
        </is>
      </c>
      <c r="B72" t="inlineStr">
        <is>
          <t>gpu_derate</t>
        </is>
      </c>
      <c r="C72" t="n">
        <v>0.3</v>
      </c>
      <c r="D72" t="n">
        <v>0.8</v>
      </c>
      <c r="E72" t="n">
        <v>1.927349723805472</v>
      </c>
      <c r="F72" t="n">
        <v>1.848090818356662</v>
      </c>
      <c r="G72" t="n">
        <v>0.07925890544880998</v>
      </c>
    </row>
    <row r="73">
      <c r="A73" t="inlineStr">
        <is>
          <t>D. Self-hosted at scale (ASR+TTS on H100, managed LLM)</t>
        </is>
      </c>
      <c r="B73" t="inlineStr">
        <is>
          <t>infra_headroom</t>
        </is>
      </c>
      <c r="C73" t="n">
        <v>1.2</v>
      </c>
      <c r="D73" t="n">
        <v>2.5</v>
      </c>
      <c r="E73" t="n">
        <v>1.835265818356662</v>
      </c>
      <c r="F73" t="n">
        <v>1.890840818356662</v>
      </c>
      <c r="G73" t="n">
        <v>0.05557500000000015</v>
      </c>
    </row>
    <row r="74">
      <c r="A74" t="inlineStr">
        <is>
          <t>D. Self-hosted at scale (ASR+TTS on H100, managed LLM)</t>
        </is>
      </c>
      <c r="B74" t="inlineStr">
        <is>
          <t>fixed_platform_usd_mo</t>
        </is>
      </c>
      <c r="C74" t="n">
        <v>300</v>
      </c>
      <c r="D74" t="n">
        <v>2500</v>
      </c>
      <c r="E74" t="n">
        <v>1.838590818356662</v>
      </c>
      <c r="F74" t="n">
        <v>1.880390818356662</v>
      </c>
      <c r="G74" t="n">
        <v>0.04180000000000006</v>
      </c>
    </row>
    <row r="75">
      <c r="A75" t="inlineStr">
        <is>
          <t>D. Self-hosted at scale (ASR+TTS on H100, managed LLM)</t>
        </is>
      </c>
      <c r="B75" t="inlineStr">
        <is>
          <t>rec_mb_per_min</t>
        </is>
      </c>
      <c r="C75" t="n">
        <v>0.12</v>
      </c>
      <c r="D75" t="n">
        <v>1.92</v>
      </c>
      <c r="E75" t="n">
        <v>1.845418943356662</v>
      </c>
      <c r="F75" t="n">
        <v>1.885497068356662</v>
      </c>
      <c r="G75" t="n">
        <v>0.04007812500000019</v>
      </c>
    </row>
    <row r="76">
      <c r="A76" t="inlineStr">
        <is>
          <t>D. Self-hosted at scale (ASR+TTS on H100, managed LLM)</t>
        </is>
      </c>
      <c r="B76" t="inlineStr">
        <is>
          <t>avg_call_min</t>
        </is>
      </c>
      <c r="C76" t="n">
        <v>1</v>
      </c>
      <c r="D76" t="n">
        <v>3.5</v>
      </c>
      <c r="E76" t="n">
        <v>1.874215818356662</v>
      </c>
      <c r="F76" t="n">
        <v>1.836894389785234</v>
      </c>
      <c r="G76" t="n">
        <v>0.03732142857142851</v>
      </c>
    </row>
    <row r="77">
      <c r="A77" t="inlineStr">
        <is>
          <t>D. Self-hosted at scale (ASR+TTS on H100, managed LLM)</t>
        </is>
      </c>
      <c r="B77" t="inlineStr">
        <is>
          <t>post_call_tok</t>
        </is>
      </c>
      <c r="C77" t="n">
        <v>2000</v>
      </c>
      <c r="D77" t="n">
        <v>8000</v>
      </c>
      <c r="E77" t="n">
        <v>1.838590818356662</v>
      </c>
      <c r="F77" t="n">
        <v>1.867090818356662</v>
      </c>
      <c r="G77" t="n">
        <v>0.02849999999999997</v>
      </c>
    </row>
    <row r="78">
      <c r="A78" t="inlineStr">
        <is>
          <t>D. Self-hosted at scale (ASR+TTS on H100, managed LLM)</t>
        </is>
      </c>
      <c r="B78" t="inlineStr">
        <is>
          <t>log_kb_per_min</t>
        </is>
      </c>
      <c r="C78" t="n">
        <v>5</v>
      </c>
      <c r="D78" t="n">
        <v>100</v>
      </c>
      <c r="E78" t="n">
        <v>1.843714883755832</v>
      </c>
      <c r="F78" t="n">
        <v>1.871429136227756</v>
      </c>
      <c r="G78" t="n">
        <v>0.02771425247192383</v>
      </c>
    </row>
    <row r="79">
      <c r="A79" t="inlineStr">
        <is>
          <t>D. Self-hosted at scale (ASR+TTS on H100, managed LLM)</t>
        </is>
      </c>
      <c r="B79" t="inlineStr">
        <is>
          <t>guard_in_tok_per_turn</t>
        </is>
      </c>
      <c r="C79" t="n">
        <v>800</v>
      </c>
      <c r="D79" t="n">
        <v>2500</v>
      </c>
      <c r="E79" t="n">
        <v>1.837557218356662</v>
      </c>
      <c r="F79" t="n">
        <v>1.863138818356662</v>
      </c>
      <c r="G79" t="n">
        <v>0.0255816000000002</v>
      </c>
    </row>
    <row r="80">
      <c r="A80" t="inlineStr">
        <is>
          <t>D. Self-hosted at scale (ASR+TTS on H100, managed LLM)</t>
        </is>
      </c>
      <c r="B80" t="inlineStr">
        <is>
          <t>infra_gib_per_call</t>
        </is>
      </c>
      <c r="C80" t="n">
        <v>0.25</v>
      </c>
      <c r="D80" t="n">
        <v>1</v>
      </c>
      <c r="E80" t="n">
        <v>1.841678318356662</v>
      </c>
      <c r="F80" t="n">
        <v>1.860915818356662</v>
      </c>
      <c r="G80" t="n">
        <v>0.0192374999999998</v>
      </c>
    </row>
    <row r="81">
      <c r="A81" t="inlineStr">
        <is>
          <t>D. Self-hosted at scale (ASR+TTS on H100, managed LLM)</t>
        </is>
      </c>
      <c r="B81" t="inlineStr">
        <is>
          <t>rec_retention_mo</t>
        </is>
      </c>
      <c r="C81" t="n">
        <v>3</v>
      </c>
      <c r="D81" t="n">
        <v>36</v>
      </c>
      <c r="E81" t="n">
        <v>1.844083005856662</v>
      </c>
      <c r="F81" t="n">
        <v>1.858778318356662</v>
      </c>
      <c r="G81" t="n">
        <v>0.0146953125</v>
      </c>
    </row>
    <row r="82">
      <c r="A82" t="inlineStr">
        <is>
          <t>D. Self-hosted at scale (ASR+TTS on H100, managed LLM)</t>
        </is>
      </c>
      <c r="B82" t="inlineStr">
        <is>
          <t>agent_talk_share</t>
        </is>
      </c>
      <c r="C82" t="n">
        <v>0.35</v>
      </c>
      <c r="D82" t="n">
        <v>0.65</v>
      </c>
      <c r="E82" t="n">
        <v>1.848090818356662</v>
      </c>
      <c r="F82" t="n">
        <v>1.848090818356662</v>
      </c>
      <c r="G82" t="n">
        <v>0</v>
      </c>
    </row>
    <row r="83">
      <c r="A83" t="inlineStr">
        <is>
          <t>D. Self-hosted at scale (ASR+TTS on H100, managed LLM)</t>
        </is>
      </c>
      <c r="B83" t="inlineStr">
        <is>
          <t>tts_chars_per_agent_min</t>
        </is>
      </c>
      <c r="C83" t="n">
        <v>610</v>
      </c>
      <c r="D83" t="n">
        <v>1040</v>
      </c>
      <c r="E83" t="n">
        <v>1.848090818356662</v>
      </c>
      <c r="F83" t="n">
        <v>1.848090818356662</v>
      </c>
      <c r="G83" t="n">
        <v>0</v>
      </c>
    </row>
    <row r="84">
      <c r="A84" t="inlineStr">
        <is>
          <t>D. Self-hosted at scale (ASR+TTS on H100, managed LLM)</t>
        </is>
      </c>
      <c r="B84" t="inlineStr">
        <is>
          <t>tts_waste</t>
        </is>
      </c>
      <c r="C84" t="n">
        <v>1</v>
      </c>
      <c r="D84" t="n">
        <v>1.25</v>
      </c>
      <c r="E84" t="n">
        <v>1.848090818356662</v>
      </c>
      <c r="F84" t="n">
        <v>1.848090818356662</v>
      </c>
      <c r="G84" t="n">
        <v>0</v>
      </c>
    </row>
    <row r="85">
      <c r="A85" t="inlineStr">
        <is>
          <t>D. Self-hosted at scale (ASR+TTS on H100, managed LLM)</t>
        </is>
      </c>
      <c r="B85" t="inlineStr">
        <is>
          <t>vl_tok_per_s</t>
        </is>
      </c>
      <c r="C85" t="n">
        <v>9.300000000000001</v>
      </c>
      <c r="D85" t="n">
        <v>12</v>
      </c>
      <c r="E85" t="n">
        <v>1.848090818356662</v>
      </c>
      <c r="F85" t="n">
        <v>1.848090818356662</v>
      </c>
      <c r="G85" t="n">
        <v>0</v>
      </c>
    </row>
    <row r="86">
      <c r="A86" t="inlineStr">
        <is>
          <t>D. Self-hosted at scale (ASR+TTS on H100, managed LLM)</t>
        </is>
      </c>
      <c r="B86" t="inlineStr">
        <is>
          <t>minutes_per_number_mo</t>
        </is>
      </c>
      <c r="C86" t="n">
        <v>2000</v>
      </c>
      <c r="D86" t="n">
        <v>10000</v>
      </c>
      <c r="E86" t="n">
        <v>1.848090818356662</v>
      </c>
      <c r="F86" t="n">
        <v>1.848090818356662</v>
      </c>
      <c r="G8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monthly connected min</t>
        </is>
      </c>
      <c r="C1" t="inlineStr">
        <is>
          <t>COGS INR/min</t>
        </is>
      </c>
      <c r="D1" t="inlineStr">
        <is>
          <t>price INR/min</t>
        </is>
      </c>
    </row>
    <row r="2">
      <c r="A2" t="inlineStr">
        <is>
          <t>volume_curve_B</t>
        </is>
      </c>
      <c r="B2" t="n">
        <v>10000</v>
      </c>
      <c r="C2" t="n">
        <v>10.24440348502333</v>
      </c>
      <c r="D2" t="n">
        <v>25.61100871255832</v>
      </c>
    </row>
    <row r="3">
      <c r="A3" t="inlineStr">
        <is>
          <t>volume_curve_B</t>
        </is>
      </c>
      <c r="B3" t="n">
        <v>50000</v>
      </c>
      <c r="C3" t="n">
        <v>4.119959040578885</v>
      </c>
      <c r="D3" t="n">
        <v>10.29989760144721</v>
      </c>
    </row>
    <row r="4">
      <c r="A4" t="inlineStr">
        <is>
          <t>volume_curve_B</t>
        </is>
      </c>
      <c r="B4" t="n">
        <v>100000</v>
      </c>
      <c r="C4" t="n">
        <v>3.354403485023329</v>
      </c>
      <c r="D4" t="n">
        <v>8.386008712558322</v>
      </c>
    </row>
    <row r="5">
      <c r="A5" t="inlineStr">
        <is>
          <t>volume_curve_B</t>
        </is>
      </c>
      <c r="B5" t="n">
        <v>300000</v>
      </c>
      <c r="C5" t="n">
        <v>2.749983114652959</v>
      </c>
      <c r="D5" t="n">
        <v>6.874957786632396</v>
      </c>
    </row>
    <row r="6">
      <c r="A6" t="inlineStr">
        <is>
          <t>volume_curve_B</t>
        </is>
      </c>
      <c r="B6" t="n">
        <v>1000000</v>
      </c>
      <c r="C6" t="n">
        <v>2.565653485023329</v>
      </c>
      <c r="D6" t="n">
        <v>6.414133712558321</v>
      </c>
    </row>
    <row r="7">
      <c r="A7" t="inlineStr">
        <is>
          <t>volume_curve_B</t>
        </is>
      </c>
      <c r="B7" t="n">
        <v>3000000</v>
      </c>
      <c r="C7" t="n">
        <v>2.449778947986292</v>
      </c>
      <c r="D7" t="n">
        <v>6.124447369965729</v>
      </c>
    </row>
    <row r="8">
      <c r="A8" t="inlineStr">
        <is>
          <t>volume_curve_B</t>
        </is>
      </c>
      <c r="B8" t="n">
        <v>10000000</v>
      </c>
      <c r="C8" t="n">
        <v>2.354253485023329</v>
      </c>
      <c r="D8" t="n">
        <v>5.885633712558322</v>
      </c>
    </row>
    <row r="9">
      <c r="A9" t="inlineStr">
        <is>
          <t>volume_curve_B</t>
        </is>
      </c>
      <c r="B9" t="n">
        <v>50000000</v>
      </c>
      <c r="C9" t="n">
        <v>2.308229040578885</v>
      </c>
      <c r="D9" t="n">
        <v>5.770572601447211</v>
      </c>
    </row>
    <row r="10">
      <c r="A10" t="inlineStr">
        <is>
          <t>volume_curve_D</t>
        </is>
      </c>
      <c r="B10" t="n">
        <v>100000</v>
      </c>
      <c r="C10" t="n">
        <v>23.50574237391222</v>
      </c>
      <c r="D10" t="n">
        <v>58.76435593478054</v>
      </c>
    </row>
    <row r="11">
      <c r="A11" t="inlineStr">
        <is>
          <t>volume_curve_D</t>
        </is>
      </c>
      <c r="B11" t="n">
        <v>300000</v>
      </c>
      <c r="C11" t="n">
        <v>8.772646077615921</v>
      </c>
      <c r="D11" t="n">
        <v>21.9316151940398</v>
      </c>
    </row>
    <row r="12">
      <c r="A12" t="inlineStr">
        <is>
          <t>volume_curve_D</t>
        </is>
      </c>
      <c r="B12" t="n">
        <v>1000000</v>
      </c>
      <c r="C12" t="n">
        <v>3.616062373912218</v>
      </c>
      <c r="D12" t="n">
        <v>9.040155934780543</v>
      </c>
    </row>
    <row r="13">
      <c r="A13" t="inlineStr">
        <is>
          <t>volume_curve_D</t>
        </is>
      </c>
      <c r="B13" t="n">
        <v>3000000</v>
      </c>
      <c r="C13" t="n">
        <v>2.142752744282588</v>
      </c>
      <c r="D13" t="n">
        <v>5.35688186070647</v>
      </c>
    </row>
    <row r="14">
      <c r="A14" t="inlineStr">
        <is>
          <t>volume_curve_D</t>
        </is>
      </c>
      <c r="B14" t="n">
        <v>5000000</v>
      </c>
      <c r="C14" t="n">
        <v>1.848090818356662</v>
      </c>
      <c r="D14" t="n">
        <v>4.620227045891656</v>
      </c>
    </row>
    <row r="15">
      <c r="A15" t="inlineStr">
        <is>
          <t>volume_curve_D</t>
        </is>
      </c>
      <c r="B15" t="n">
        <v>10000000</v>
      </c>
      <c r="C15" t="n">
        <v>1.701166663068291</v>
      </c>
      <c r="D15" t="n">
        <v>4.252916657670727</v>
      </c>
    </row>
    <row r="16">
      <c r="A16" t="inlineStr">
        <is>
          <t>volume_curve_D</t>
        </is>
      </c>
      <c r="B16" t="n">
        <v>30000000</v>
      </c>
      <c r="C16" t="n">
        <v>1.662729626031254</v>
      </c>
      <c r="D16" t="n">
        <v>4.156824065078134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lever</t>
        </is>
      </c>
      <c r="C1" t="inlineStr">
        <is>
          <t>option</t>
        </is>
      </c>
      <c r="D1" t="inlineStr">
        <is>
          <t>COGS INR/min</t>
        </is>
      </c>
      <c r="E1" t="inlineStr">
        <is>
          <t>delta vs scenario base</t>
        </is>
      </c>
    </row>
    <row r="2">
      <c r="A2" t="inlineStr">
        <is>
          <t>levers_A</t>
        </is>
      </c>
      <c r="B2" t="inlineStr">
        <is>
          <t>llm</t>
        </is>
      </c>
      <c r="C2" t="inlineStr">
        <is>
          <t>gpt6_luna</t>
        </is>
      </c>
      <c r="D2" t="n">
        <v>3.352845049467773</v>
      </c>
      <c r="E2" t="n">
        <v>-1.18150968</v>
      </c>
    </row>
    <row r="3">
      <c r="A3" t="inlineStr">
        <is>
          <t>levers_A</t>
        </is>
      </c>
      <c r="B3" t="inlineStr">
        <is>
          <t>llm</t>
        </is>
      </c>
      <c r="C3" t="inlineStr">
        <is>
          <t>gpt54_nano</t>
        </is>
      </c>
      <c r="D3" t="n">
        <v>3.410287369467774</v>
      </c>
      <c r="E3" t="n">
        <v>-1.12406736</v>
      </c>
    </row>
    <row r="4">
      <c r="A4" t="inlineStr">
        <is>
          <t>levers_A</t>
        </is>
      </c>
      <c r="B4" t="inlineStr">
        <is>
          <t>llm</t>
        </is>
      </c>
      <c r="C4" t="inlineStr">
        <is>
          <t>gpt41_nano</t>
        </is>
      </c>
      <c r="D4" t="n">
        <v>3.364919929467773</v>
      </c>
      <c r="E4" t="n">
        <v>-1.1694348</v>
      </c>
    </row>
    <row r="5">
      <c r="A5" t="inlineStr">
        <is>
          <t>levers_A</t>
        </is>
      </c>
      <c r="B5" t="inlineStr">
        <is>
          <t>llm</t>
        </is>
      </c>
      <c r="C5" t="inlineStr">
        <is>
          <t>gpt41_mini</t>
        </is>
      </c>
      <c r="D5" t="n">
        <v>3.587698729467773</v>
      </c>
      <c r="E5" t="n">
        <v>-0.9466560000000004</v>
      </c>
    </row>
    <row r="6">
      <c r="A6" t="inlineStr">
        <is>
          <t>levers_A</t>
        </is>
      </c>
      <c r="B6" t="inlineStr">
        <is>
          <t>llm</t>
        </is>
      </c>
      <c r="C6" t="inlineStr">
        <is>
          <t>deepseek_v4_flash</t>
        </is>
      </c>
      <c r="D6" t="n">
        <v>3.395657065467773</v>
      </c>
      <c r="E6" t="n">
        <v>-1.138697664</v>
      </c>
    </row>
    <row r="7">
      <c r="A7" t="inlineStr">
        <is>
          <t>levers_A</t>
        </is>
      </c>
      <c r="B7" t="inlineStr">
        <is>
          <t>llm</t>
        </is>
      </c>
      <c r="C7" t="inlineStr">
        <is>
          <t>gpt56_luna</t>
        </is>
      </c>
      <c r="D7" t="n">
        <v>3.421413769467773</v>
      </c>
      <c r="E7" t="n">
        <v>-1.11294096</v>
      </c>
    </row>
    <row r="8">
      <c r="A8" t="inlineStr">
        <is>
          <t>levers_A</t>
        </is>
      </c>
      <c r="B8" t="inlineStr">
        <is>
          <t>llm</t>
        </is>
      </c>
      <c r="C8" t="inlineStr">
        <is>
          <t>gpt61_sol</t>
        </is>
      </c>
      <c r="D8" t="n">
        <v>4.390167529467774</v>
      </c>
      <c r="E8" t="n">
        <v>-0.1441872000000002</v>
      </c>
    </row>
    <row r="9">
      <c r="A9" t="inlineStr">
        <is>
          <t>levers_A</t>
        </is>
      </c>
      <c r="B9" t="inlineStr">
        <is>
          <t>llm</t>
        </is>
      </c>
      <c r="C9" t="inlineStr">
        <is>
          <t>gpt6_sol</t>
        </is>
      </c>
      <c r="D9" t="n">
        <v>4.534354729467774</v>
      </c>
      <c r="E9" t="n">
        <v>0</v>
      </c>
    </row>
    <row r="10">
      <c r="A10" t="inlineStr">
        <is>
          <t>levers_A</t>
        </is>
      </c>
      <c r="B10" t="inlineStr">
        <is>
          <t>llm</t>
        </is>
      </c>
      <c r="C10" t="inlineStr">
        <is>
          <t>gpt56_terra</t>
        </is>
      </c>
      <c r="D10" t="n">
        <v>4.598194729467774</v>
      </c>
      <c r="E10" t="n">
        <v>0.0638399999999999</v>
      </c>
    </row>
    <row r="11">
      <c r="A11" t="inlineStr">
        <is>
          <t>levers_A</t>
        </is>
      </c>
      <c r="B11" t="inlineStr">
        <is>
          <t>tts</t>
        </is>
      </c>
      <c r="C11" t="inlineStr">
        <is>
          <t>neural_tiered</t>
        </is>
      </c>
      <c r="D11" t="n">
        <v>4.241754729467774</v>
      </c>
      <c r="E11" t="n">
        <v>-0.2926000000000002</v>
      </c>
    </row>
    <row r="12">
      <c r="A12" t="inlineStr">
        <is>
          <t>levers_A</t>
        </is>
      </c>
      <c r="B12" t="inlineStr">
        <is>
          <t>tts</t>
        </is>
      </c>
      <c r="C12" t="inlineStr">
        <is>
          <t>neural</t>
        </is>
      </c>
      <c r="D12" t="n">
        <v>4.241754729467774</v>
      </c>
      <c r="E12" t="n">
        <v>-0.2926000000000002</v>
      </c>
    </row>
    <row r="13">
      <c r="A13" t="inlineStr">
        <is>
          <t>levers_A</t>
        </is>
      </c>
      <c r="B13" t="inlineStr">
        <is>
          <t>tts</t>
        </is>
      </c>
      <c r="C13" t="inlineStr">
        <is>
          <t>hd</t>
        </is>
      </c>
      <c r="D13" t="n">
        <v>4.534354729467774</v>
      </c>
      <c r="E13" t="n">
        <v>0</v>
      </c>
    </row>
    <row r="14">
      <c r="A14" t="inlineStr">
        <is>
          <t>levers_A</t>
        </is>
      </c>
      <c r="B14" t="inlineStr">
        <is>
          <t>asr</t>
        </is>
      </c>
      <c r="C14" t="inlineStr">
        <is>
          <t>voicelive_byo</t>
        </is>
      </c>
      <c r="D14" t="n">
        <v>4.391854729467774</v>
      </c>
      <c r="E14" t="n">
        <v>-0.1425000000000001</v>
      </c>
    </row>
    <row r="15">
      <c r="A15" t="inlineStr">
        <is>
          <t>levers_A</t>
        </is>
      </c>
      <c r="B15" t="inlineStr">
        <is>
          <t>asr</t>
        </is>
      </c>
      <c r="C15" t="inlineStr">
        <is>
          <t>voicelive_std</t>
        </is>
      </c>
      <c r="D15" t="n">
        <v>4.534354729467774</v>
      </c>
      <c r="E15" t="n">
        <v>0</v>
      </c>
    </row>
    <row r="16">
      <c r="A16" t="inlineStr">
        <is>
          <t>levers_A</t>
        </is>
      </c>
      <c r="B16" t="inlineStr">
        <is>
          <t>asr</t>
        </is>
      </c>
      <c r="C16" t="inlineStr">
        <is>
          <t>s1</t>
        </is>
      </c>
      <c r="D16" t="n">
        <v>5.199354729467774</v>
      </c>
      <c r="E16" t="n">
        <v>0.665</v>
      </c>
    </row>
    <row r="17">
      <c r="A17" t="inlineStr">
        <is>
          <t>levers_A</t>
        </is>
      </c>
      <c r="B17" t="inlineStr">
        <is>
          <t>telephony</t>
        </is>
      </c>
      <c r="C17" t="inlineStr">
        <is>
          <t>tata_unlimited</t>
        </is>
      </c>
      <c r="D17" t="n">
        <v>4.337410285023329</v>
      </c>
      <c r="E17" t="n">
        <v>-0.196944444444445</v>
      </c>
    </row>
    <row r="18">
      <c r="A18" t="inlineStr">
        <is>
          <t>levers_A</t>
        </is>
      </c>
      <c r="B18" t="inlineStr">
        <is>
          <t>telephony</t>
        </is>
      </c>
      <c r="C18" t="inlineStr">
        <is>
          <t>plivo</t>
        </is>
      </c>
      <c r="D18" t="n">
        <v>4.534354729467774</v>
      </c>
      <c r="E18" t="n">
        <v>0</v>
      </c>
    </row>
    <row r="19">
      <c r="A19" t="inlineStr">
        <is>
          <t>levers_B</t>
        </is>
      </c>
      <c r="B19" t="inlineStr">
        <is>
          <t>llm</t>
        </is>
      </c>
      <c r="C19" t="inlineStr">
        <is>
          <t>gpt6_luna</t>
        </is>
      </c>
      <c r="D19" t="n">
        <v>1.755742765023329</v>
      </c>
      <c r="E19" t="n">
        <v>-0.8099107199999998</v>
      </c>
    </row>
    <row r="20">
      <c r="A20" t="inlineStr">
        <is>
          <t>levers_B</t>
        </is>
      </c>
      <c r="B20" t="inlineStr">
        <is>
          <t>llm</t>
        </is>
      </c>
      <c r="C20" t="inlineStr">
        <is>
          <t>gpt54_nano</t>
        </is>
      </c>
      <c r="D20" t="n">
        <v>1.800148045023329</v>
      </c>
      <c r="E20" t="n">
        <v>-0.7655054399999999</v>
      </c>
    </row>
    <row r="21">
      <c r="A21" t="inlineStr">
        <is>
          <t>levers_B</t>
        </is>
      </c>
      <c r="B21" t="inlineStr">
        <is>
          <t>llm</t>
        </is>
      </c>
      <c r="C21" t="inlineStr">
        <is>
          <t>gpt41_nano</t>
        </is>
      </c>
      <c r="D21" t="n">
        <v>1.766194285023329</v>
      </c>
      <c r="E21" t="n">
        <v>-0.7994591999999998</v>
      </c>
    </row>
    <row r="22">
      <c r="A22" t="inlineStr">
        <is>
          <t>levers_B</t>
        </is>
      </c>
      <c r="B22" t="inlineStr">
        <is>
          <t>llm</t>
        </is>
      </c>
      <c r="C22" t="inlineStr">
        <is>
          <t>gpt41_mini</t>
        </is>
      </c>
      <c r="D22" t="n">
        <v>1.925429485023329</v>
      </c>
      <c r="E22" t="n">
        <v>-0.6402239999999999</v>
      </c>
    </row>
    <row r="23">
      <c r="A23" t="inlineStr">
        <is>
          <t>levers_B</t>
        </is>
      </c>
      <c r="B23" t="inlineStr">
        <is>
          <t>llm</t>
        </is>
      </c>
      <c r="C23" t="inlineStr">
        <is>
          <t>deepseek_v4_flash</t>
        </is>
      </c>
      <c r="D23" t="n">
        <v>1.784217229023329</v>
      </c>
      <c r="E23" t="n">
        <v>-0.7814362559999999</v>
      </c>
    </row>
    <row r="24">
      <c r="A24" t="inlineStr">
        <is>
          <t>levers_B</t>
        </is>
      </c>
      <c r="B24" t="inlineStr">
        <is>
          <t>llm</t>
        </is>
      </c>
      <c r="C24" t="inlineStr">
        <is>
          <t>gpt56_luna</t>
        </is>
      </c>
      <c r="D24" t="n">
        <v>1.804753645023329</v>
      </c>
      <c r="E24" t="n">
        <v>-0.7608998399999998</v>
      </c>
    </row>
    <row r="25">
      <c r="A25" t="inlineStr">
        <is>
          <t>levers_B</t>
        </is>
      </c>
      <c r="B25" t="inlineStr">
        <is>
          <t>llm</t>
        </is>
      </c>
      <c r="C25" t="inlineStr">
        <is>
          <t>gpt61_sol</t>
        </is>
      </c>
      <c r="D25" t="n">
        <v>2.454024685023329</v>
      </c>
      <c r="E25" t="n">
        <v>-0.1116287999999996</v>
      </c>
    </row>
    <row r="26">
      <c r="A26" t="inlineStr">
        <is>
          <t>levers_B</t>
        </is>
      </c>
      <c r="B26" t="inlineStr">
        <is>
          <t>llm</t>
        </is>
      </c>
      <c r="C26" t="inlineStr">
        <is>
          <t>gpt6_sol</t>
        </is>
      </c>
      <c r="D26" t="n">
        <v>2.565653485023329</v>
      </c>
      <c r="E26" t="n">
        <v>0</v>
      </c>
    </row>
    <row r="27">
      <c r="A27" t="inlineStr">
        <is>
          <t>levers_B</t>
        </is>
      </c>
      <c r="B27" t="inlineStr">
        <is>
          <t>llm</t>
        </is>
      </c>
      <c r="C27" t="inlineStr">
        <is>
          <t>gpt56_terra</t>
        </is>
      </c>
      <c r="D27" t="n">
        <v>2.629493485023329</v>
      </c>
      <c r="E27" t="n">
        <v>0.0638399999999999</v>
      </c>
    </row>
    <row r="28">
      <c r="A28" t="inlineStr">
        <is>
          <t>levers_B</t>
        </is>
      </c>
      <c r="B28" t="inlineStr">
        <is>
          <t>tts</t>
        </is>
      </c>
      <c r="C28" t="inlineStr">
        <is>
          <t>neural_tiered</t>
        </is>
      </c>
      <c r="D28" t="n">
        <v>2.565653485023329</v>
      </c>
      <c r="E28" t="n">
        <v>0</v>
      </c>
    </row>
    <row r="29">
      <c r="A29" t="inlineStr">
        <is>
          <t>levers_B</t>
        </is>
      </c>
      <c r="B29" t="inlineStr">
        <is>
          <t>tts</t>
        </is>
      </c>
      <c r="C29" t="inlineStr">
        <is>
          <t>neural</t>
        </is>
      </c>
      <c r="D29" t="n">
        <v>2.665403485023329</v>
      </c>
      <c r="E29" t="n">
        <v>0.09975000000000023</v>
      </c>
    </row>
    <row r="30">
      <c r="A30" t="inlineStr">
        <is>
          <t>levers_B</t>
        </is>
      </c>
      <c r="B30" t="inlineStr">
        <is>
          <t>tts</t>
        </is>
      </c>
      <c r="C30" t="inlineStr">
        <is>
          <t>hd</t>
        </is>
      </c>
      <c r="D30" t="n">
        <v>2.884853485023329</v>
      </c>
      <c r="E30" t="n">
        <v>0.3192000000000004</v>
      </c>
    </row>
    <row r="31">
      <c r="A31" t="inlineStr">
        <is>
          <t>levers_B</t>
        </is>
      </c>
      <c r="B31" t="inlineStr">
        <is>
          <t>asr</t>
        </is>
      </c>
      <c r="C31" t="inlineStr">
        <is>
          <t>voicelive_byo</t>
        </is>
      </c>
      <c r="D31" t="n">
        <v>2.565653485023329</v>
      </c>
      <c r="E31" t="n">
        <v>0</v>
      </c>
    </row>
    <row r="32">
      <c r="A32" t="inlineStr">
        <is>
          <t>levers_B</t>
        </is>
      </c>
      <c r="B32" t="inlineStr">
        <is>
          <t>asr</t>
        </is>
      </c>
      <c r="C32" t="inlineStr">
        <is>
          <t>voicelive_std</t>
        </is>
      </c>
      <c r="D32" t="n">
        <v>2.708153485023329</v>
      </c>
      <c r="E32" t="n">
        <v>0.1425000000000001</v>
      </c>
    </row>
    <row r="33">
      <c r="A33" t="inlineStr">
        <is>
          <t>levers_B</t>
        </is>
      </c>
      <c r="B33" t="inlineStr">
        <is>
          <t>asr</t>
        </is>
      </c>
      <c r="C33" t="inlineStr">
        <is>
          <t>s1</t>
        </is>
      </c>
      <c r="D33" t="n">
        <v>2.882320151689996</v>
      </c>
      <c r="E33" t="n">
        <v>0.3166666666666669</v>
      </c>
    </row>
    <row r="34">
      <c r="A34" t="inlineStr">
        <is>
          <t>levers_B</t>
        </is>
      </c>
      <c r="B34" t="inlineStr">
        <is>
          <t>telephony</t>
        </is>
      </c>
      <c r="C34" t="inlineStr">
        <is>
          <t>tata_unlimited</t>
        </is>
      </c>
      <c r="D34" t="n">
        <v>2.565653485023329</v>
      </c>
      <c r="E34" t="n">
        <v>0</v>
      </c>
    </row>
    <row r="35">
      <c r="A35" t="inlineStr">
        <is>
          <t>levers_B</t>
        </is>
      </c>
      <c r="B35" t="inlineStr">
        <is>
          <t>telephony</t>
        </is>
      </c>
      <c r="C35" t="inlineStr">
        <is>
          <t>plivo</t>
        </is>
      </c>
      <c r="D35" t="n">
        <v>2.767597929467773</v>
      </c>
      <c r="E35" t="n">
        <v>0.2019444444444445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role:vm:term</t>
        </is>
      </c>
      <c r="B1" t="inlineStr">
        <is>
          <t>INR/min at 100% util</t>
        </is>
      </c>
      <c r="C1" t="inlineStr">
        <is>
          <t>managed INR/min</t>
        </is>
      </c>
      <c r="D1" t="inlineStr">
        <is>
          <t>break-even utilisation (vs neural/VL)</t>
        </is>
      </c>
      <c r="E1" t="inlineStr">
        <is>
          <t>break-even vs HD TTS</t>
        </is>
      </c>
    </row>
    <row r="2">
      <c r="A2" t="inlineStr">
        <is>
          <t>asr:t4_vm:on-demand</t>
        </is>
      </c>
      <c r="B2" t="n">
        <v>0.06920424657534247</v>
      </c>
      <c r="C2" t="n">
        <v>0.7125</v>
      </c>
      <c r="D2" t="n">
        <v>0.09712876712328766</v>
      </c>
    </row>
    <row r="3">
      <c r="A3" t="inlineStr">
        <is>
          <t>asr:t4_vm:1-yr RI</t>
        </is>
      </c>
      <c r="B3" t="n">
        <v>0.05409360730593608</v>
      </c>
      <c r="C3" t="n">
        <v>0.7125</v>
      </c>
      <c r="D3" t="n">
        <v>0.07592085235920852</v>
      </c>
    </row>
    <row r="4">
      <c r="A4" t="inlineStr">
        <is>
          <t>asr:t4_vm:3-yr RI</t>
        </is>
      </c>
      <c r="B4" t="n">
        <v>0.04645890410958905</v>
      </c>
      <c r="C4" t="n">
        <v>0.7125</v>
      </c>
      <c r="D4" t="n">
        <v>0.06520547945205481</v>
      </c>
    </row>
    <row r="5">
      <c r="A5" t="inlineStr">
        <is>
          <t>asr:a10_vm:on-demand</t>
        </is>
      </c>
      <c r="B5" t="n">
        <v>0.1363222327192568</v>
      </c>
      <c r="C5" t="n">
        <v>0.7125</v>
      </c>
      <c r="D5" t="n">
        <v>0.1913294494305359</v>
      </c>
    </row>
    <row r="6">
      <c r="A6" t="inlineStr">
        <is>
          <t>asr:a10_vm:1-yr RI</t>
        </is>
      </c>
      <c r="B6" t="n">
        <v>0.09229566866110324</v>
      </c>
      <c r="C6" t="n">
        <v>0.7125</v>
      </c>
      <c r="D6" t="n">
        <v>0.129537780576987</v>
      </c>
    </row>
    <row r="7">
      <c r="A7" t="inlineStr">
        <is>
          <t>asr:a10_vm:3-yr RI</t>
        </is>
      </c>
      <c r="B7" t="n">
        <v>0.06783473512482724</v>
      </c>
      <c r="C7" t="n">
        <v>0.7125</v>
      </c>
      <c r="D7" t="n">
        <v>0.09520664578923121</v>
      </c>
    </row>
    <row r="8">
      <c r="A8" t="inlineStr">
        <is>
          <t>asr:a100_vm:on-demand</t>
        </is>
      </c>
      <c r="B8" t="n">
        <v>0.07686571814921514</v>
      </c>
      <c r="C8" t="n">
        <v>0.7125</v>
      </c>
      <c r="D8" t="n">
        <v>0.107881709683109</v>
      </c>
    </row>
    <row r="9">
      <c r="A9" t="inlineStr">
        <is>
          <t>asr:a100_vm:1-yr RI</t>
        </is>
      </c>
      <c r="B9" t="n">
        <v>0.05266607221013712</v>
      </c>
      <c r="C9" t="n">
        <v>0.7125</v>
      </c>
      <c r="D9" t="n">
        <v>0.07391729433001701</v>
      </c>
    </row>
    <row r="10">
      <c r="A10" t="inlineStr">
        <is>
          <t>asr:a100_vm:3-yr RI</t>
        </is>
      </c>
      <c r="B10" t="n">
        <v>0.03291642442018713</v>
      </c>
      <c r="C10" t="n">
        <v>0.7125</v>
      </c>
      <c r="D10" t="n">
        <v>0.04619849041429773</v>
      </c>
    </row>
    <row r="11">
      <c r="A11" t="inlineStr">
        <is>
          <t>asr:h100_vm:on-demand</t>
        </is>
      </c>
      <c r="B11" t="n">
        <v>0.08899283878533823</v>
      </c>
      <c r="C11" t="n">
        <v>0.7125</v>
      </c>
      <c r="D11" t="n">
        <v>0.1249022298741589</v>
      </c>
    </row>
    <row r="12">
      <c r="A12" t="inlineStr">
        <is>
          <t>asr:h100_vm:1-yr RI</t>
        </is>
      </c>
      <c r="B12" t="n">
        <v>0.06785573188279229</v>
      </c>
      <c r="C12" t="n">
        <v>0.7125</v>
      </c>
      <c r="D12" t="n">
        <v>0.09523611492321724</v>
      </c>
    </row>
    <row r="13">
      <c r="A13" t="inlineStr">
        <is>
          <t>asr:h100_vm:3-yr RI</t>
        </is>
      </c>
      <c r="B13" t="n">
        <v>0.05094595681091676</v>
      </c>
      <c r="C13" t="n">
        <v>0.7125</v>
      </c>
      <c r="D13" t="n">
        <v>0.07150309727847966</v>
      </c>
    </row>
    <row r="14">
      <c r="A14" t="inlineStr">
        <is>
          <t>tts:a100_vm:on-demand</t>
        </is>
      </c>
      <c r="B14" t="n">
        <v>0.0454561226618455</v>
      </c>
      <c r="C14" t="n">
        <v>0.3056625</v>
      </c>
      <c r="D14" t="n">
        <v>0.148713442642933</v>
      </c>
      <c r="E14" t="n">
        <v>0.04943032042392942</v>
      </c>
    </row>
    <row r="15">
      <c r="A15" t="inlineStr">
        <is>
          <t>tts:a100_vm:1-yr RI</t>
        </is>
      </c>
      <c r="B15" t="n">
        <v>0.03114516453036028</v>
      </c>
      <c r="C15" t="n">
        <v>0.3056625</v>
      </c>
      <c r="D15" t="n">
        <v>0.1018939664838188</v>
      </c>
      <c r="E15" t="n">
        <v>0.03386816499604205</v>
      </c>
    </row>
    <row r="16">
      <c r="A16" t="inlineStr">
        <is>
          <t>tts:a100_vm:3-yr RI</t>
        </is>
      </c>
      <c r="B16" t="n">
        <v>0.01946580428909544</v>
      </c>
      <c r="C16" t="n">
        <v>0.3056625</v>
      </c>
      <c r="D16" t="n">
        <v>0.06368397918977774</v>
      </c>
      <c r="E16" t="n">
        <v>0.02116768626478407</v>
      </c>
    </row>
    <row r="17">
      <c r="A17" t="inlineStr">
        <is>
          <t>tts:h100_vm:on-demand</t>
        </is>
      </c>
      <c r="B17" t="n">
        <v>0.05615754999212722</v>
      </c>
      <c r="C17" t="n">
        <v>0.3056625</v>
      </c>
      <c r="D17" t="n">
        <v>0.1837240420140751</v>
      </c>
      <c r="E17" t="n">
        <v>0.0610673662376329</v>
      </c>
    </row>
    <row r="18">
      <c r="A18" t="inlineStr">
        <is>
          <t>tts:h100_vm:1-yr RI</t>
        </is>
      </c>
      <c r="B18" t="n">
        <v>0.04281930667086548</v>
      </c>
      <c r="C18" t="n">
        <v>0.3056625</v>
      </c>
      <c r="D18" t="n">
        <v>0.140086882332198</v>
      </c>
      <c r="E18" t="n">
        <v>0.04656296941155446</v>
      </c>
    </row>
    <row r="19">
      <c r="A19" t="inlineStr">
        <is>
          <t>tts:h100_vm:3-yr RI</t>
        </is>
      </c>
      <c r="B19" t="n">
        <v>0.03214865550481989</v>
      </c>
      <c r="C19" t="n">
        <v>0.3056625</v>
      </c>
      <c r="D19" t="n">
        <v>0.1051769697127384</v>
      </c>
      <c r="E19" t="n">
        <v>0.03495939050110906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type</t>
        </is>
      </c>
      <c r="B1" t="inlineStr">
        <is>
          <t>human INR/outcome (p50 telecaller)</t>
        </is>
      </c>
      <c r="C1" t="inlineStr">
        <is>
          <t>AI @ INR2/min</t>
        </is>
      </c>
      <c r="D1" t="inlineStr">
        <is>
          <t>AI @ INR3.5/min</t>
        </is>
      </c>
      <c r="E1" t="inlineStr">
        <is>
          <t>AI @ INR5/min</t>
        </is>
      </c>
      <c r="F1" t="inlineStr">
        <is>
          <t>AI @ INR6/min</t>
        </is>
      </c>
      <c r="G1" t="inlineStr">
        <is>
          <t>AI break-even INR/min</t>
        </is>
      </c>
    </row>
    <row r="2">
      <c r="A2" t="inlineStr">
        <is>
          <t>lead qualification (speed-to-lead)</t>
        </is>
      </c>
      <c r="B2" t="n">
        <v>70.84121304937599</v>
      </c>
      <c r="C2" t="n">
        <v>30</v>
      </c>
      <c r="D2" t="n">
        <v>52.5</v>
      </c>
      <c r="E2" t="n">
        <v>75</v>
      </c>
      <c r="F2" t="n">
        <v>90</v>
      </c>
      <c r="G2" t="n">
        <v>4.722747536625067</v>
      </c>
    </row>
    <row r="3">
      <c r="A3" t="inlineStr">
        <is>
          <t>COD confirmation / NDR</t>
        </is>
      </c>
      <c r="B3" t="n">
        <v>7.813369086328235</v>
      </c>
      <c r="C3" t="n">
        <v>2.352941176470588</v>
      </c>
      <c r="D3" t="n">
        <v>4.11764705882353</v>
      </c>
      <c r="E3" t="n">
        <v>5.882352941176471</v>
      </c>
      <c r="F3" t="n">
        <v>7.058823529411764</v>
      </c>
      <c r="G3" t="n">
        <v>6.641363723378999</v>
      </c>
    </row>
    <row r="4">
      <c r="A4" t="inlineStr">
        <is>
          <t>EMI reminder (early bucket)</t>
        </is>
      </c>
      <c r="B4" t="n">
        <v>40.48069317107201</v>
      </c>
      <c r="C4" t="n">
        <v>11.42857142857143</v>
      </c>
      <c r="D4" t="n">
        <v>20</v>
      </c>
      <c r="E4" t="n">
        <v>28.57142857142857</v>
      </c>
      <c r="F4" t="n">
        <v>34.28571428571428</v>
      </c>
      <c r="G4" t="n">
        <v>7.0841213049376</v>
      </c>
    </row>
    <row r="5">
      <c r="A5" t="inlineStr">
        <is>
          <t>appointment reminder</t>
        </is>
      </c>
      <c r="B5" t="n">
        <v>12.65021661596</v>
      </c>
      <c r="C5" t="n">
        <v>2.857142857142857</v>
      </c>
      <c r="D5" t="n">
        <v>5</v>
      </c>
      <c r="E5" t="n">
        <v>7.142857142857143</v>
      </c>
      <c r="F5" t="n">
        <v>8.571428571428571</v>
      </c>
      <c r="G5" t="n">
        <v>8.855151631171999</v>
      </c>
    </row>
    <row r="7">
      <c r="A7" t="inlineStr">
        <is>
          <t>Monthly connected minutes at which base COGS &lt;= INR 2</t>
        </is>
      </c>
    </row>
    <row r="8">
      <c r="A8" t="inlineStr">
        <is>
          <t>A. Managed today (quality bar)</t>
        </is>
      </c>
      <c r="B8" t="inlineStr">
        <is>
          <t>not below INR 2 at any volume up to 50M</t>
        </is>
      </c>
    </row>
    <row r="9">
      <c r="A9" t="inlineStr">
        <is>
          <t>A0. Plain cascade reference (S1 STT + 5.6 terra + HD)</t>
        </is>
      </c>
      <c r="B9" t="inlineStr">
        <is>
          <t>not below INR 2 at any volume up to 50M</t>
        </is>
      </c>
    </row>
    <row r="10">
      <c r="A10" t="inlineStr">
        <is>
          <t>B. Managed optimised</t>
        </is>
      </c>
      <c r="B10" t="inlineStr">
        <is>
          <t>not below INR 2 at any volume up to 50M</t>
        </is>
      </c>
    </row>
    <row r="11">
      <c r="A11" t="inlineStr">
        <is>
          <t>C. Hybrid (self-hosted ASR on T4, managed LLM+TTS)</t>
        </is>
      </c>
      <c r="B11" t="n">
        <v>2100480.411962648</v>
      </c>
    </row>
    <row r="12">
      <c r="A12" t="inlineStr">
        <is>
          <t>D. Self-hosted at scale (ASR+TTS on H100, managed LLM)</t>
        </is>
      </c>
      <c r="B12" t="n">
        <v>3736029.537430055</v>
      </c>
    </row>
    <row r="13">
      <c r="A13" t="inlineStr">
        <is>
          <t>B-luna. Managed optimised + 6-luna speaking model</t>
        </is>
      </c>
      <c r="B13" t="n">
        <v>243330.0275697125</v>
      </c>
    </row>
    <row r="14">
      <c r="A14" t="inlineStr">
        <is>
          <t>B-HD. Managed optimised but DragonHD voice</t>
        </is>
      </c>
      <c r="B14" t="inlineStr">
        <is>
          <t>not below INR 2 at any volume up to 50M</t>
        </is>
      </c>
    </row>
    <row r="15">
      <c r="A15" t="inlineStr">
        <is>
          <t>D-lite. Self-hosted at scale + 6-luna speaking model</t>
        </is>
      </c>
      <c r="B15" t="n">
        <v>1579137.739272464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s1_stt_per_hr</t>
        </is>
      </c>
      <c r="B2" t="n">
        <v>1</v>
      </c>
      <c r="C2" t="inlineStr">
        <is>
          <t>USD unless _inr; Azure Retail Prices API / vendor page, read 2026-10-17</t>
        </is>
      </c>
    </row>
    <row r="3">
      <c r="A3" t="inlineStr">
        <is>
          <t>s1_stt_commit_100k_per_hr</t>
        </is>
      </c>
      <c r="B3" t="n">
        <v>0.4</v>
      </c>
      <c r="C3" t="inlineStr">
        <is>
          <t>USD unless _inr; Azure Retail Prices API / vendor page, read 2026-10-17</t>
        </is>
      </c>
    </row>
    <row r="4">
      <c r="A4" t="inlineStr">
        <is>
          <t>fast_tx_per_hr</t>
        </is>
      </c>
      <c r="B4" t="n">
        <v>0.36</v>
      </c>
      <c r="C4" t="inlineStr">
        <is>
          <t>USD unless _inr; Azure Retail Prices API / vendor page, read 2026-10-17</t>
        </is>
      </c>
    </row>
    <row r="5">
      <c r="A5" t="inlineStr">
        <is>
          <t>vl_std_speech_in_per_1k</t>
        </is>
      </c>
      <c r="B5" t="n">
        <v>0.015</v>
      </c>
      <c r="C5" t="inlineStr">
        <is>
          <t>USD unless _inr; Azure Retail Prices API / vendor page, read 2026-10-17</t>
        </is>
      </c>
    </row>
    <row r="6">
      <c r="A6" t="inlineStr">
        <is>
          <t>vl_byo_speech_in_per_1k</t>
        </is>
      </c>
      <c r="B6" t="n">
        <v>0.0125</v>
      </c>
      <c r="C6" t="inlineStr">
        <is>
          <t>USD unless _inr; Azure Retail Prices API / vendor page, read 2026-10-17</t>
        </is>
      </c>
    </row>
    <row r="7">
      <c r="A7" t="inlineStr">
        <is>
          <t>neural_tts_per_1m</t>
        </is>
      </c>
      <c r="B7" t="n">
        <v>15</v>
      </c>
      <c r="C7" t="inlineStr">
        <is>
          <t>USD unless _inr; Azure Retail Prices API / vendor page, read 2026-10-17</t>
        </is>
      </c>
    </row>
    <row r="8">
      <c r="A8" t="inlineStr">
        <is>
          <t>hd_tts_per_1m</t>
        </is>
      </c>
      <c r="B8" t="n">
        <v>22</v>
      </c>
      <c r="C8" t="inlineStr">
        <is>
          <t>USD unless _inr; Azure Retail Prices API / vendor page, read 2026-10-17</t>
        </is>
      </c>
    </row>
    <row r="9">
      <c r="A9" t="inlineStr">
        <is>
          <t>neural_tts_commit_80m_per_1m</t>
        </is>
      </c>
      <c r="B9" t="n">
        <v>12</v>
      </c>
      <c r="C9" t="inlineStr">
        <is>
          <t>USD unless _inr; Azure Retail Prices API / vendor page, read 2026-10-17</t>
        </is>
      </c>
    </row>
    <row r="10">
      <c r="A10" t="inlineStr">
        <is>
          <t>neural_tts_commit_400m_per_1m</t>
        </is>
      </c>
      <c r="B10" t="n">
        <v>9.75</v>
      </c>
      <c r="C10" t="inlineStr">
        <is>
          <t>USD unless _inr; Azure Retail Prices API / vendor page, read 2026-10-17</t>
        </is>
      </c>
    </row>
    <row r="11">
      <c r="A11" t="inlineStr">
        <is>
          <t>neural_tts_commit_2000m_per_1m</t>
        </is>
      </c>
      <c r="B11" t="n">
        <v>7.5</v>
      </c>
      <c r="C11" t="inlineStr">
        <is>
          <t>USD unless _inr; Azure Retail Prices API / vendor page, read 2026-10-17</t>
        </is>
      </c>
    </row>
    <row r="12">
      <c r="A12" t="inlineStr">
        <is>
          <t>neural_tts_commit_4000m_per_1m</t>
        </is>
      </c>
      <c r="B12" t="n">
        <v>6</v>
      </c>
      <c r="C12" t="inlineStr">
        <is>
          <t>USD unless _inr; Azure Retail Prices API / vendor page, read 2026-10-17</t>
        </is>
      </c>
    </row>
    <row r="13">
      <c r="A13" t="inlineStr">
        <is>
          <t>gpt6_sol</t>
        </is>
      </c>
      <c r="B13" t="inlineStr">
        <is>
          <t>[2.0, 0.2, 2.5, 10.0]</t>
        </is>
      </c>
      <c r="C13" t="inlineStr">
        <is>
          <t>USD unless _inr; Azure Retail Prices API / vendor page, read 2026-10-17</t>
        </is>
      </c>
    </row>
    <row r="14">
      <c r="A14" t="inlineStr">
        <is>
          <t>gpt61_sol</t>
        </is>
      </c>
      <c r="B14" t="inlineStr">
        <is>
          <t>[2.0, 0.1, 2.5, 10.0]</t>
        </is>
      </c>
      <c r="C14" t="inlineStr">
        <is>
          <t>USD unless _inr; Azure Retail Prices API / vendor page, read 2026-10-17</t>
        </is>
      </c>
    </row>
    <row r="15">
      <c r="A15" t="inlineStr">
        <is>
          <t>gpt6_luna</t>
        </is>
      </c>
      <c r="B15" t="inlineStr">
        <is>
          <t>[0.1, 0.01, 0.125, 0.5]</t>
        </is>
      </c>
      <c r="C15" t="inlineStr">
        <is>
          <t>USD unless _inr; Azure Retail Prices API / vendor page, read 2026-10-17</t>
        </is>
      </c>
    </row>
    <row r="16">
      <c r="A16" t="inlineStr">
        <is>
          <t>gpt56_terra</t>
        </is>
      </c>
      <c r="B16" t="inlineStr">
        <is>
          <t>[2.0, 0.2, 2.5, 12.0]</t>
        </is>
      </c>
      <c r="C16" t="inlineStr">
        <is>
          <t>USD unless _inr; Azure Retail Prices API / vendor page, read 2026-10-17</t>
        </is>
      </c>
    </row>
    <row r="17">
      <c r="A17" t="inlineStr">
        <is>
          <t>gpt56_luna</t>
        </is>
      </c>
      <c r="B17" t="inlineStr">
        <is>
          <t>[0.2, 0.02, 0.25, 1.2]</t>
        </is>
      </c>
      <c r="C17" t="inlineStr">
        <is>
          <t>USD unless _inr; Azure Retail Prices API / vendor page, read 2026-10-17</t>
        </is>
      </c>
    </row>
    <row r="18">
      <c r="A18" t="inlineStr">
        <is>
          <t>gpt54_nano</t>
        </is>
      </c>
      <c r="B18" t="inlineStr">
        <is>
          <t>[0.2, 0.02, 0.2, 1.25]</t>
        </is>
      </c>
      <c r="C18" t="inlineStr">
        <is>
          <t>USD unless _inr; Azure Retail Prices API / vendor page, read 2026-10-17</t>
        </is>
      </c>
    </row>
    <row r="19">
      <c r="A19" t="inlineStr">
        <is>
          <t>gpt41_mini</t>
        </is>
      </c>
      <c r="B19" t="inlineStr">
        <is>
          <t>[0.4, 0.1, 0.4, 1.6]</t>
        </is>
      </c>
      <c r="C19" t="inlineStr">
        <is>
          <t>USD unless _inr; Azure Retail Prices API / vendor page, read 2026-10-17</t>
        </is>
      </c>
    </row>
    <row r="20">
      <c r="A20" t="inlineStr">
        <is>
          <t>gpt41_nano</t>
        </is>
      </c>
      <c r="B20" t="inlineStr">
        <is>
          <t>[0.1, 0.025, 0.1, 0.4]</t>
        </is>
      </c>
      <c r="C20" t="inlineStr">
        <is>
          <t>USD unless _inr; Azure Retail Prices API / vendor page, read 2026-10-17</t>
        </is>
      </c>
    </row>
    <row r="21">
      <c r="A21" t="inlineStr">
        <is>
          <t>deepseek_v4_flash</t>
        </is>
      </c>
      <c r="B21" t="inlineStr">
        <is>
          <t>[0.19, 0.028, 0.19, 0.51]</t>
        </is>
      </c>
      <c r="C21" t="inlineStr">
        <is>
          <t>USD unless _inr; Azure Retail Prices API / vendor page, read 2026-10-17</t>
        </is>
      </c>
    </row>
    <row r="22">
      <c r="A22" t="inlineStr">
        <is>
          <t>grok41_fast</t>
        </is>
      </c>
      <c r="B22" t="inlineStr">
        <is>
          <t>[0.2, 0.2, 0.2, 0.5]</t>
        </is>
      </c>
      <c r="C22" t="inlineStr">
        <is>
          <t>USD unless _inr; Azure Retail Prices API / vendor page, read 2026-10-17</t>
        </is>
      </c>
    </row>
    <row r="23">
      <c r="A23" t="inlineStr">
        <is>
          <t>gpt_oss_120b</t>
        </is>
      </c>
      <c r="B23" t="inlineStr">
        <is>
          <t>[0.15, 0.15, 0.15, 0.6]</t>
        </is>
      </c>
      <c r="C23" t="inlineStr">
        <is>
          <t>USD unless _inr; Azure Retail Prices API / vendor page, read 2026-10-17</t>
        </is>
      </c>
    </row>
    <row r="24">
      <c r="A24" t="inlineStr">
        <is>
          <t>llama33_70b</t>
        </is>
      </c>
      <c r="B24" t="inlineStr">
        <is>
          <t>[0.71, 0.71, 0.71, 0.71]</t>
        </is>
      </c>
      <c r="C24" t="inlineStr">
        <is>
          <t>USD unless _inr; Azure Retail Prices API / vendor page, read 2026-10-17</t>
        </is>
      </c>
    </row>
    <row r="25">
      <c r="A25" t="inlineStr">
        <is>
          <t>aca_vcpu_s</t>
        </is>
      </c>
      <c r="B25" t="n">
        <v>2.4e-05</v>
      </c>
      <c r="C25" t="inlineStr">
        <is>
          <t>USD unless _inr; Azure Retail Prices API / vendor page, read 2026-10-17</t>
        </is>
      </c>
    </row>
    <row r="26">
      <c r="A26" t="inlineStr">
        <is>
          <t>aca_gib_s</t>
        </is>
      </c>
      <c r="B26" t="n">
        <v>3e-06</v>
      </c>
      <c r="C26" t="inlineStr">
        <is>
          <t>USD unless _inr; Azure Retail Prices API / vendor page, read 2026-10-17</t>
        </is>
      </c>
    </row>
    <row r="27">
      <c r="A27" t="inlineStr">
        <is>
          <t>aca_env_hr</t>
        </is>
      </c>
      <c r="B27" t="n">
        <v>0.14</v>
      </c>
      <c r="C27" t="inlineStr">
        <is>
          <t>USD unless _inr; Azure Retail Prices API / vendor page, read 2026-10-17</t>
        </is>
      </c>
    </row>
    <row r="28">
      <c r="A28" t="inlineStr">
        <is>
          <t>blob_hot_gb_mo</t>
        </is>
      </c>
      <c r="B28" t="n">
        <v>0.02</v>
      </c>
      <c r="C28" t="inlineStr">
        <is>
          <t>USD unless _inr; Azure Retail Prices API / vendor page, read 2026-10-17</t>
        </is>
      </c>
    </row>
    <row r="29">
      <c r="A29" t="inlineStr">
        <is>
          <t>log_ingest_gb</t>
        </is>
      </c>
      <c r="B29" t="n">
        <v>3.22</v>
      </c>
      <c r="C29" t="inlineStr">
        <is>
          <t>USD unless _inr; Azure Retail Prices API / vendor page, read 2026-10-17</t>
        </is>
      </c>
    </row>
    <row r="30">
      <c r="A30" t="inlineStr">
        <is>
          <t>t4_vm</t>
        </is>
      </c>
      <c r="B30" t="inlineStr">
        <is>
          <t>[0.579, 0.3404109589041096, 0.21986301369863015]</t>
        </is>
      </c>
      <c r="C30" t="inlineStr">
        <is>
          <t>USD unless _inr; Azure Retail Prices API / vendor page, read 2026-10-17</t>
        </is>
      </c>
    </row>
    <row r="31">
      <c r="A31" t="inlineStr">
        <is>
          <t>a10_vm</t>
        </is>
      </c>
      <c r="B31" t="inlineStr">
        <is>
          <t>[4.48, 2.8672374429223746, 1.9711948249619482]</t>
        </is>
      </c>
      <c r="C31" t="inlineStr">
        <is>
          <t>USD unless _inr; Azure Retail Prices API / vendor page, read 2026-10-17</t>
        </is>
      </c>
    </row>
    <row r="32">
      <c r="A32" t="inlineStr">
        <is>
          <t>a100_vm</t>
        </is>
      </c>
      <c r="B32" t="inlineStr">
        <is>
          <t>[5.142, 3.3614155251141553, 1.9082572298325724]</t>
        </is>
      </c>
      <c r="C32" t="inlineStr">
        <is>
          <t>USD unless _inr; Azure Retail Prices API / vendor page, read 2026-10-17</t>
        </is>
      </c>
    </row>
    <row r="33">
      <c r="A33" t="inlineStr">
        <is>
          <t>h100_vm</t>
        </is>
      </c>
      <c r="B33" t="inlineStr">
        <is>
          <t>[9.772, 7.328995433789954, 5.374581430745814]</t>
        </is>
      </c>
      <c r="C33" t="inlineStr">
        <is>
          <t>USD unless _inr; Azure Retail Prices API / vendor page, read 2026-10-17</t>
        </is>
      </c>
    </row>
    <row r="34">
      <c r="A34" t="inlineStr">
        <is>
          <t>nvaie_per_gpu_hr</t>
        </is>
      </c>
      <c r="B34" t="n">
        <v>0.5136986301369864</v>
      </c>
      <c r="C34" t="inlineStr">
        <is>
          <t>USD unless _inr; Azure Retail Prices API / vendor page, read 2026-10-17</t>
        </is>
      </c>
    </row>
    <row r="35">
      <c r="A35" t="inlineStr">
        <is>
          <t>plivo_min_inr</t>
        </is>
      </c>
      <c r="B35" t="n">
        <v>0.38</v>
      </c>
      <c r="C35" t="inlineStr">
        <is>
          <t>USD unless _inr; Azure Retail Prices API / vendor page, read 2026-10-17</t>
        </is>
      </c>
    </row>
    <row r="36">
      <c r="A36" t="inlineStr">
        <is>
          <t>plivo_pulse_s</t>
        </is>
      </c>
      <c r="B36" t="n">
        <v>30</v>
      </c>
      <c r="C36" t="inlineStr">
        <is>
          <t>USD unless _inr; Azure Retail Prices API / vendor page, read 2026-10-17</t>
        </is>
      </c>
    </row>
    <row r="37">
      <c r="A37" t="inlineStr">
        <is>
          <t>plivo_number_mo_inr</t>
        </is>
      </c>
      <c r="B37" t="n">
        <v>200</v>
      </c>
      <c r="C37" t="inlineStr">
        <is>
          <t>USD unless _inr; Azure Retail Prices API / vendor page, read 2026-10-17</t>
        </is>
      </c>
    </row>
    <row r="38">
      <c r="A38" t="inlineStr">
        <is>
          <t>vobiz_via_sarvam_min_inr</t>
        </is>
      </c>
      <c r="B38" t="n">
        <v>0.4</v>
      </c>
      <c r="C38" t="inlineStr">
        <is>
          <t>USD unless _inr; Azure Retail Prices API / vendor page, read 2026-10-17</t>
        </is>
      </c>
    </row>
    <row r="39">
      <c r="A39" t="inlineStr">
        <is>
          <t>sarvam_number_mo_inr</t>
        </is>
      </c>
      <c r="B39" t="n">
        <v>59</v>
      </c>
      <c r="C39" t="inlineStr">
        <is>
          <t>USD unless _inr; Azure Retail Prices API / vendor page, read 2026-10-17</t>
        </is>
      </c>
    </row>
    <row r="40">
      <c r="A40" t="inlineStr">
        <is>
          <t>tata_stream_unl_conc_mo_inr</t>
        </is>
      </c>
      <c r="B40" t="n">
        <v>1100</v>
      </c>
      <c r="C40" t="inlineStr">
        <is>
          <t>USD unless _inr; Azure Retail Prices API / vendor page, read 2026-10-17</t>
        </is>
      </c>
    </row>
    <row r="41">
      <c r="A41" t="inlineStr">
        <is>
          <t>tata_fup_min_per_user</t>
        </is>
      </c>
      <c r="B41" t="n">
        <v>5000</v>
      </c>
      <c r="C41" t="inlineStr">
        <is>
          <t>USD unless _inr; Azure Retail Prices API / vendor page, read 2026-10-17</t>
        </is>
      </c>
    </row>
    <row r="42">
      <c r="A42" t="inlineStr">
        <is>
          <t>acs_direct_routing_min</t>
        </is>
      </c>
      <c r="B42" t="n">
        <v>0.004</v>
      </c>
      <c r="C42" t="inlineStr">
        <is>
          <t>USD unless _inr; Azure Retail Prices API / vendor page, read 2026-10-17</t>
        </is>
      </c>
    </row>
    <row r="43">
      <c r="A43" t="inlineStr">
        <is>
          <t>twilio_in_mobile_min</t>
        </is>
      </c>
      <c r="B43" t="n">
        <v>0.0496</v>
      </c>
      <c r="C43" t="inlineStr">
        <is>
          <t>USD unless _inr; Azure Retail Prices API / vendor page, read 2026-10-17</t>
        </is>
      </c>
    </row>
    <row r="45">
      <c r="A45" t="inlineStr">
        <is>
          <t>Commitment tiers (round 2)</t>
        </is>
      </c>
      <c r="B45" t="inlineStr">
        <is>
          <t>included / fee USD per month / overage</t>
        </is>
      </c>
      <c r="C45" t="inlineStr">
        <is>
          <t>Azure Retail Prices API centralindia 2026-10-17</t>
        </is>
      </c>
    </row>
    <row r="46">
      <c r="A46" t="inlineStr">
        <is>
          <t>tts_neural_tier</t>
        </is>
      </c>
      <c r="B46" t="inlineStr">
        <is>
          <t>0M chars / 0 / 15 per 1M</t>
        </is>
      </c>
      <c r="C46" t="inlineStr"/>
    </row>
    <row r="47">
      <c r="A47" t="inlineStr">
        <is>
          <t>tts_neural_tier</t>
        </is>
      </c>
      <c r="B47" t="inlineStr">
        <is>
          <t>80M chars / 960 / 12 per 1M</t>
        </is>
      </c>
      <c r="C47" t="inlineStr"/>
    </row>
    <row r="48">
      <c r="A48" t="inlineStr">
        <is>
          <t>tts_neural_tier</t>
        </is>
      </c>
      <c r="B48" t="inlineStr">
        <is>
          <t>400M chars / 3900 / 9.75 per 1M</t>
        </is>
      </c>
      <c r="C48" t="inlineStr"/>
    </row>
    <row r="49">
      <c r="A49" t="inlineStr">
        <is>
          <t>tts_neural_tier</t>
        </is>
      </c>
      <c r="B49" t="inlineStr">
        <is>
          <t>2000M chars / 15000 / 7.5 per 1M</t>
        </is>
      </c>
      <c r="C49" t="inlineStr"/>
    </row>
    <row r="50">
      <c r="A50" t="inlineStr">
        <is>
          <t>tts_neural_tier</t>
        </is>
      </c>
      <c r="B50" t="inlineStr">
        <is>
          <t>4000M chars / 24000 / 6 per 1M</t>
        </is>
      </c>
      <c r="C50" t="inlineStr"/>
    </row>
    <row r="51">
      <c r="A51" t="inlineStr">
        <is>
          <t>stt_s1_tier</t>
        </is>
      </c>
      <c r="B51" t="inlineStr">
        <is>
          <t>0 h / 0 / 1 per h</t>
        </is>
      </c>
      <c r="C51" t="inlineStr"/>
    </row>
    <row r="52">
      <c r="A52" t="inlineStr">
        <is>
          <t>stt_s1_tier</t>
        </is>
      </c>
      <c r="B52" t="inlineStr">
        <is>
          <t>2000 h / 1600 / 0.8 per h</t>
        </is>
      </c>
      <c r="C52" t="inlineStr"/>
    </row>
    <row r="53">
      <c r="A53" t="inlineStr">
        <is>
          <t>stt_s1_tier</t>
        </is>
      </c>
      <c r="B53" t="inlineStr">
        <is>
          <t>10000 h / 6500 / 0.65 per h</t>
        </is>
      </c>
      <c r="C53" t="inlineStr"/>
    </row>
    <row r="54">
      <c r="A54" t="inlineStr">
        <is>
          <t>stt_s1_tier</t>
        </is>
      </c>
      <c r="B54" t="inlineStr">
        <is>
          <t>50000 h / 25000 / 0.5 per h</t>
        </is>
      </c>
      <c r="C54" t="inlineStr"/>
    </row>
    <row r="55">
      <c r="A55" t="inlineStr">
        <is>
          <t>stt_s1_tier</t>
        </is>
      </c>
      <c r="B55" t="inlineStr">
        <is>
          <t>100000 h / 40000 / 0.4 per h</t>
        </is>
      </c>
      <c r="C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2026-10-17T19:03:19Z</dcterms:created>
  <dcterms:modified xmlns:dcterms="http://purl.org/dc/terms/" xmlns:xsi="http://www.w3.org/2001/XMLSchema-instance" xsi:type="dcterms:W3CDTF">2026-10-17T19:03:19Z</dcterms:modified>
</cp:coreProperties>
</file>