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puts" sheetId="2" state="visible" r:id="rId4"/>
    <sheet name="Params" sheetId="3" state="visible" r:id="rId5"/>
    <sheet name="Budget" sheetId="4" state="visible" r:id="rId6"/>
    <sheet name="Calc" sheetId="5" state="visible" r:id="rId7"/>
    <sheet name="Tiers" sheetId="6" state="visible" r:id="rId8"/>
    <sheet name="Live_g5" sheetId="7" state="visible" r:id="rId9"/>
    <sheet name="MC" sheetId="8" state="visible" r:id="rId10"/>
    <sheet name="Volume" sheetId="9" state="visible" r:id="rId11"/>
    <sheet name="Sensitivity" sheetId="10" state="visible" r:id="rId12"/>
    <sheet name="Latency" sheetId="11" state="visible" r:id="rId13"/>
    <sheet name="Calibration" sheetId="12" state="visible" r:id="rId14"/>
    <sheet name="Deterministic" sheetId="13" state="visible" r:id="rId15"/>
    <sheet name="Budget_values" sheetId="14" state="visible" r:id="rId16"/>
    <sheet name="Tiers_by_length" sheetId="15" state="visible" r:id="rId17"/>
  </sheets>
  <definedNames>
    <definedName function="false" hidden="false" name="AGENT_S" vbProcedure="false">Params!$B$4</definedName>
    <definedName function="false" hidden="false" name="CALLER_S" vbProcedure="false">Params!$B$5</definedName>
    <definedName function="false" hidden="false" name="EXCH" vbProcedure="false">Params!$B$3</definedName>
    <definedName function="false" hidden="false" name="FX" vbProcedure="false">Params!$B$2</definedName>
    <definedName function="false" hidden="false" name="GR" vbProcedure="false">Params!$B$6</definedName>
    <definedName function="false" hidden="false" name="GST_INCL" vbProcedure="false">Params!$B$11</definedName>
    <definedName function="false" hidden="false" name="GST_RATE" vbProcedure="false">Params!$B$10</definedName>
    <definedName function="false" hidden="false" name="INFRA" vbProcedure="false">Params!$B$8</definedName>
    <definedName function="false" hidden="false" name="PRICE" vbProcedure="false">Params!$B$9</definedName>
    <definedName function="false" hidden="false" name="TEL" vbProcedure="false">Params!$B$7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<sst xmlns="http://schemas.openxmlformats.org/spreadsheetml/2006/main" count="1777" uniqueCount="563">
  <si>
    <t xml:space="preserve">VP voice-stack pricing model, 2026-10-19 (synthesis lane). Source of truth: model/pricing_model.py.</t>
  </si>
  <si>
    <t xml:space="preserve">Yellow cells on Params are editable inputs. Budget, Calc and Tiers are LIVE FORMULAS on Params.</t>
  </si>
  <si>
    <t xml:space="preserve">Live_g5, MC, Volume, Sensitivity, Latency and Calibration are VALUES pasted from results/*.csv.</t>
  </si>
  <si>
    <t xml:space="preserve">Calc covers cascades and tiers. Gemini Live is not a closed-form formula (per-invocation re-billing): use Live_g5.</t>
  </si>
  <si>
    <t xml:space="preserve">Deterministic case = g3 reference shape: 5 exchanges/min, agent 24 s/min, caller 24 s/min, FX 95, 2026 prices.</t>
  </si>
  <si>
    <t xml:space="preserve">OpenRouter-routed LLM rows include the 5.5% credit fee and a 1.2x ledger factor (g3 verify.md #7).</t>
  </si>
  <si>
    <t xml:space="preserve">Telephony per connected minute = rate x (L + 0.25)/L: 30-second pulses add 15 s per call on average.</t>
  </si>
  <si>
    <t xml:space="preserve">Prices are ex-GST. Input GST (incl. reverse-charge IGST on imported services) is assumed recoverable as ITC.</t>
  </si>
  <si>
    <t xml:space="preserve">Calc column 'diff' = formula AI minus python AI; it must be ~0 after recalculation (python3 build_xlsx.py --check).</t>
  </si>
  <si>
    <t xml:space="preserve">Every number on Inputs carries its lane file, date and method. No number here was invented: ranges marked 'assumption' are modelling choices.</t>
  </si>
  <si>
    <t xml:space="preserve">key</t>
  </si>
  <si>
    <t xml:space="preserve">value</t>
  </si>
  <si>
    <t xml:space="preserve">lo</t>
  </si>
  <si>
    <t xml:space="preserve">hi</t>
  </si>
  <si>
    <t xml:space="preserve">unit</t>
  </si>
  <si>
    <t xml:space="preserve">source</t>
  </si>
  <si>
    <t xml:space="preserve">date</t>
  </si>
  <si>
    <t xml:space="preserve">method</t>
  </si>
  <si>
    <t xml:space="preserve">note</t>
  </si>
  <si>
    <t xml:space="preserve">fx</t>
  </si>
  <si>
    <t xml:space="preserve">INR per USD</t>
  </si>
  <si>
    <t xml:space="preserve">task instruction; g2 verify read Pluang mid-market 94.95 on 2026-10-19</t>
  </si>
  <si>
    <t xml:space="preserve">2026-10-19</t>
  </si>
  <si>
    <t xml:space="preserve">assumption</t>
  </si>
  <si>
    <t xml:space="preserve">MC uniform 90-100</t>
  </si>
  <si>
    <t xml:space="preserve">exch_per_min</t>
  </si>
  <si>
    <t xml:space="preserve">caller-agent exchanges per connected minute</t>
  </si>
  <si>
    <t xml:space="preserve">lanes/g3-cascade-measured/results/rederived_usage_per_exchange.csv (battery 3.15-4.96); g5 Live 3.7-7.3 billed turns/min</t>
  </si>
  <si>
    <t xml:space="preserve">2026-10-18</t>
  </si>
  <si>
    <t xml:space="preserve">MC triangular(3,5,7)</t>
  </si>
  <si>
    <t xml:space="preserve">agent_s</t>
  </si>
  <si>
    <t xml:space="preserve">seconds of agent speech per connected minute</t>
  </si>
  <si>
    <t xml:space="preserve">g3 reference shape; g5/g2 Live calls 20-41 s (lanes/g2.../verify.md #7)</t>
  </si>
  <si>
    <t xml:space="preserve">MC triangular(15,24,40)</t>
  </si>
  <si>
    <t xml:space="preserve">caller_s</t>
  </si>
  <si>
    <t xml:space="preserve">seconds of caller speech per connected minute</t>
  </si>
  <si>
    <t xml:space="preserve">g3 reference shape; g5 Live sessions.csv 13-19 s VAD speech</t>
  </si>
  <si>
    <t xml:space="preserve">MC triangular(12,22,32); agent+caller capped at 56 s</t>
  </si>
  <si>
    <t xml:space="preserve">stt_gated_ratio</t>
  </si>
  <si>
    <t xml:space="preserve">audio seconds sent per second of caller speech when VAD-gated</t>
  </si>
  <si>
    <t xml:space="preserve">lanes/g3-cascade-measured/results/rederived_usage_per_exchange.csv (C1+gated, C6+gated)</t>
  </si>
  <si>
    <t xml:space="preserve">measured</t>
  </si>
  <si>
    <t xml:space="preserve">n=30 exchanges per gated run; MC uniform</t>
  </si>
  <si>
    <t xml:space="preserve">az_stt_usd_h</t>
  </si>
  <si>
    <t xml:space="preserve">USD per audio hour (S1 real-time STT, centralindia)</t>
  </si>
  <si>
    <t xml:space="preserve">lanes/g3-cascade-measured/results/cost_inputs.csv; re-read 2026-10-19 (g3 verify.md)</t>
  </si>
  <si>
    <t xml:space="preserve">read-primary</t>
  </si>
  <si>
    <t xml:space="preserve">az_tts_neural_usd_1m</t>
  </si>
  <si>
    <t xml:space="preserve">USD per 1M chars (S1 Neural TTS)</t>
  </si>
  <si>
    <t xml:space="preserve">lanes/g3-cascade-measured/results/cost_inputs.csv</t>
  </si>
  <si>
    <t xml:space="preserve">az_tts_hd_usd_1m</t>
  </si>
  <si>
    <t xml:space="preserve">USD per 1M chars (Neural HD / DragonHD)</t>
  </si>
  <si>
    <t xml:space="preserve">az_cnv_usd_1m</t>
  </si>
  <si>
    <t xml:space="preserve">USD per 1M chars (S1 Custom Neural Realtime Characters)</t>
  </si>
  <si>
    <t xml:space="preserve">model/inputs/azure_custom_voice_centralindia_2026-10-19.json</t>
  </si>
  <si>
    <t xml:space="preserve">az_cnv_host_usd_h</t>
  </si>
  <si>
    <t xml:space="preserve">USD per hour per hosted custom neural voice model</t>
  </si>
  <si>
    <t xml:space="preserve">cps_az_neural</t>
  </si>
  <si>
    <t xml:space="preserve">billed chars per agent-second, hi-IN-SwaraNeural (incl. cancelled requests)</t>
  </si>
  <si>
    <t xml:space="preserve">lanes/g3-cascade-measured/results/rederived_usage_per_exchange.csv C1</t>
  </si>
  <si>
    <t xml:space="preserve">cps_az_hd</t>
  </si>
  <si>
    <t xml:space="preserve">billed chars per agent-second, en-IN-Aarti DragonHD</t>
  </si>
  <si>
    <t xml:space="preserve">lanes/g3-cascade-measured/results/rederived_usage_per_exchange.csv C2 (C3 17.51)</t>
  </si>
  <si>
    <t xml:space="preserve">cps_vendor</t>
  </si>
  <si>
    <t xml:space="preserve">billed chars per agent-second, unmeasured vendor voices</t>
  </si>
  <si>
    <t xml:space="preserve">lanes/g4-market-selfhost/prices.csv (800 chars/agent-min x 1.10 waste)</t>
  </si>
  <si>
    <t xml:space="preserve">gtl_audio_usd_1m</t>
  </si>
  <si>
    <t xml:space="preserve">USD per 1M audio tokens in, gemini-3.5-transcribe-live (25 tok/s)</t>
  </si>
  <si>
    <t xml:space="preserve">lanes/g1-gemini-desk/prices.json</t>
  </si>
  <si>
    <t xml:space="preserve">gtl_text_usd_1m</t>
  </si>
  <si>
    <t xml:space="preserve">USD per 1M text tokens out, gemini-3.5-transcribe-live</t>
  </si>
  <si>
    <t xml:space="preserve">gtl_text_tok_per_utt</t>
  </si>
  <si>
    <t xml:space="preserve">transcript text tokens per caller utterance</t>
  </si>
  <si>
    <t xml:space="preserve">lanes/g3.../results/cost_inputs.csv note (countTokens, not metered)</t>
  </si>
  <si>
    <t xml:space="preserve">MC: per-minute text tokens uniform(14.6 x exch, 175 = Google's published estimate)</t>
  </si>
  <si>
    <t xml:space="preserve">gem_lite_tts_out_usd_1m_2026</t>
  </si>
  <si>
    <t xml:space="preserve">USD per 1M audio tokens out, gemini-3.8-flash-lite-tts to 2026-12-31</t>
  </si>
  <si>
    <t xml:space="preserve">gem_lite_tts_out_usd_1m_2027</t>
  </si>
  <si>
    <t xml:space="preserve">same, from 2027-01-01 (announced)</t>
  </si>
  <si>
    <t xml:space="preserve">gem_flash_tts_out_usd_1m_2026</t>
  </si>
  <si>
    <t xml:space="preserve">USD per 1M audio tokens out, gemini-3.8-flash-tts to 2026-12-31</t>
  </si>
  <si>
    <t xml:space="preserve">gem_flash_tts_out_usd_1m_2027</t>
  </si>
  <si>
    <t xml:space="preserve">gem_tts_text_in_usd_1m_2026</t>
  </si>
  <si>
    <t xml:space="preserve">USD per 1M text tokens in, 3.8 TTS models (1.00 from 2027-01-01)</t>
  </si>
  <si>
    <t xml:space="preserve">gem_tts_lead_s</t>
  </si>
  <si>
    <t xml:space="preserve">leading silence billed per TTS request (s)</t>
  </si>
  <si>
    <t xml:space="preserve">lanes/g5-gemini-paid/results/tts_summary.csv (0.14-0.36 s)</t>
  </si>
  <si>
    <t xml:space="preserve">flashlite_usd_1m</t>
  </si>
  <si>
    <t xml:space="preserve">USD per 1M input tokens, gemini-3.5-flash-lite (cached 0.03, output 2.50); not in the 2027 doubling</t>
  </si>
  <si>
    <t xml:space="preserve">live_text_in_usd_1m</t>
  </si>
  <si>
    <t xml:space="preserve">USD per 1M, gemini-3.8-live / 3.1-flash-live text in</t>
  </si>
  <si>
    <t xml:space="preserve">lanes/g1-gemini-desk/prices.json; g2/g5 verify re-read</t>
  </si>
  <si>
    <t xml:space="preserve">live_audio_in_usd_1m</t>
  </si>
  <si>
    <t xml:space="preserve">USD per 1M audio tokens in (re-billed every invocation)</t>
  </si>
  <si>
    <t xml:space="preserve">live_text_out_usd_1m</t>
  </si>
  <si>
    <t xml:space="preserve">USD per 1M text out (thinking, transcripts)</t>
  </si>
  <si>
    <t xml:space="preserve">live_audio_out_usd_1m</t>
  </si>
  <si>
    <t xml:space="preserve">USD per 1M audio tokens out</t>
  </si>
  <si>
    <t xml:space="preserve">no announced change for Live</t>
  </si>
  <si>
    <t xml:space="preserve">oss_groq_usd_1m</t>
  </si>
  <si>
    <t xml:space="preserve">USD per 1M in, gpt-oss-120b on Groq via OpenRouter (cache read 0.075, out 0.60)</t>
  </si>
  <si>
    <t xml:space="preserve">openrouter_fee</t>
  </si>
  <si>
    <t xml:space="preserve">OpenRouter platform fee on credit purchases</t>
  </si>
  <si>
    <t xml:space="preserve">lanes/g4-market-selfhost/prices.csv / vendor-risk.csv</t>
  </si>
  <si>
    <t xml:space="preserve">g3 costs did not include it</t>
  </si>
  <si>
    <t xml:space="preserve">openrouter_ledger_factor</t>
  </si>
  <si>
    <t xml:space="preserve">OpenRouter account ledger / per-response usage.cost (cancelled streams)</t>
  </si>
  <si>
    <t xml:space="preserve">lanes/g3-cascade-measured/verify.md #7</t>
  </si>
  <si>
    <t xml:space="preserve">verifier: model ~1.2x below ledger; ledger windows not fully attributable</t>
  </si>
  <si>
    <t xml:space="preserve">gpt41mini_usd_1m</t>
  </si>
  <si>
    <t xml:space="preserve">USD per 1M in, gpt-4.1-mini regional South India (cached 0.11, out 1.76); Legacy, retires 2027-04-14</t>
  </si>
  <si>
    <t xml:space="preserve">gemma4_inworld_usd_1m</t>
  </si>
  <si>
    <t xml:space="preserve">USD per 1M in, Gemma 4 26B-A4B on Inworld (out 0.34, no cache price)</t>
  </si>
  <si>
    <t xml:space="preserve">lanes/g4-market-selfhost/prices.csv</t>
  </si>
  <si>
    <t xml:space="preserve">sarvam_stt_inr_min</t>
  </si>
  <si>
    <t xml:space="preserve">INR per audio minute, Sarvam real-time STT (Growth/Business), excl. GST</t>
  </si>
  <si>
    <t xml:space="preserve">bulbul_v4f_inr_1k</t>
  </si>
  <si>
    <t xml:space="preserve">INR per 1K chars, Sarvam Bulbul V4 Flash (Growth/Business), excl. GST</t>
  </si>
  <si>
    <t xml:space="preserve">inworld_stt_usd_h</t>
  </si>
  <si>
    <t xml:space="preserve">USD per audio hour, Inworld STT-1 (paid plans)</t>
  </si>
  <si>
    <t xml:space="preserve">inworld_tts2f_usd_1m</t>
  </si>
  <si>
    <t xml:space="preserve">USD per 1M chars, Inworld TTS-2 Flash (Growth, USD 1,500/month credits); on-demand 15</t>
  </si>
  <si>
    <t xml:space="preserve">inworld_growth_usd_month</t>
  </si>
  <si>
    <t xml:space="preserve">USD per month, Inworld Growth plan (credits)</t>
  </si>
  <si>
    <t xml:space="preserve">realtime_mini_inr_min_3</t>
  </si>
  <si>
    <t xml:space="preserve">INR/min, gpt-realtime-2.1-mini 3-min call with prefix caching (no cache 6.93; output cached 1.50)</t>
  </si>
  <si>
    <t xml:space="preserve">lanes/g4-market-selfhost/summary.json</t>
  </si>
  <si>
    <t xml:space="preserve">computed</t>
  </si>
  <si>
    <t xml:space="preserve">desk computation from OpenAI price page; not measured</t>
  </si>
  <si>
    <t xml:space="preserve">sh_stt_inr_min_u50</t>
  </si>
  <si>
    <t xml:space="preserve">INR per connected min, IndicConformer on E2E L4 at 50% utilisation</t>
  </si>
  <si>
    <t xml:space="preserve">lanes/g4-market-selfhost/selfhost.csv</t>
  </si>
  <si>
    <t xml:space="preserve">throughput vendor-claim/assumed; cost scales as 0.5/util; MC util uniform(0.3,0.7)</t>
  </si>
  <si>
    <t xml:space="preserve">sh_tts_inr_min_u50</t>
  </si>
  <si>
    <t xml:space="preserve">INR per connected min, Veena on E2E H100 on-demand at 50% utilisation</t>
  </si>
  <si>
    <t xml:space="preserve">sh_stt_fleet_inr_month</t>
  </si>
  <si>
    <t xml:space="preserve">INR/month, 2x L4 minimum fleet</t>
  </si>
  <si>
    <t xml:space="preserve">sh_tts_fleet_inr_month</t>
  </si>
  <si>
    <t xml:space="preserve">INR/month, 2x H100 minimum fleet (E2E on-demand)</t>
  </si>
  <si>
    <t xml:space="preserve">tel_inr_min</t>
  </si>
  <si>
    <t xml:space="preserve">INR per billed minute, Indian CPaaS (Plivo 0.38 / Sarvam-Vobiz 0.40, 30 s pulses)</t>
  </si>
  <si>
    <t xml:space="preserve">voice-stack-brief.md section 1; 2026-10-17/lanes/l2-economics/data/vendor-and-telephony-prices.csv</t>
  </si>
  <si>
    <t xml:space="preserve">2026-10-17</t>
  </si>
  <si>
    <t xml:space="preserve">MC uniform; 30-s pulse rounding modelled on call length</t>
  </si>
  <si>
    <t xml:space="preserve">tel_1600_inr_min</t>
  </si>
  <si>
    <t xml:space="preserve">INR per minute on a 1600-series number</t>
  </si>
  <si>
    <t xml:space="preserve">SYNTHESIS-v2 3.1 [REG-24]: not published by any CPaaS</t>
  </si>
  <si>
    <t xml:space="preserve">sensitivity only; no price exists in any source</t>
  </si>
  <si>
    <t xml:space="preserve">tel_tata_inr_min</t>
  </si>
  <si>
    <t xml:space="preserve">INR/min, Tata Smartflo concurrency plan at full FUP (lever)</t>
  </si>
  <si>
    <t xml:space="preserve">2026-10-17/lanes/l2-economics/data/vendor-and-telephony-prices.csv</t>
  </si>
  <si>
    <t xml:space="preserve">infra_inr_min</t>
  </si>
  <si>
    <t xml:space="preserve">INR per connected minute, orchestration VM + egress + recordings</t>
  </si>
  <si>
    <t xml:space="preserve">computed from Standard_D4s_v5 USD 0.202/h at ~20 concurrent calls (concurrency per VM not measured)</t>
  </si>
  <si>
    <t xml:space="preserve">MC triangular(0.01,0.03,0.06)</t>
  </si>
  <si>
    <t xml:space="preserve">gst</t>
  </si>
  <si>
    <t xml:space="preserve">GST rate on the platform's sale</t>
  </si>
  <si>
    <t xml:space="preserve">Indian GST on SaaS (standard rate)</t>
  </si>
  <si>
    <t xml:space="preserve">input GST (and IGST paid under reverse charge on imported services) is recoverable as ITC, so COGS are modelled ex-GST; CA to confirm</t>
  </si>
  <si>
    <t xml:space="preserve">price_inr_min</t>
  </si>
  <si>
    <t xml:space="preserve">target PRICE per connected minute</t>
  </si>
  <si>
    <t xml:space="preserve">owner directive 2026-10-18</t>
  </si>
  <si>
    <t xml:space="preserve">name</t>
  </si>
  <si>
    <t xml:space="preserve">meaning</t>
  </si>
  <si>
    <t xml:space="preserve">FX</t>
  </si>
  <si>
    <t xml:space="preserve">EXCH</t>
  </si>
  <si>
    <t xml:space="preserve">exchanges per connected minute</t>
  </si>
  <si>
    <t xml:space="preserve">AGENT_S</t>
  </si>
  <si>
    <t xml:space="preserve">agent speech s/min</t>
  </si>
  <si>
    <t xml:space="preserve">CALLER_S</t>
  </si>
  <si>
    <t xml:space="preserve">caller speech s/min</t>
  </si>
  <si>
    <t xml:space="preserve">GR</t>
  </si>
  <si>
    <t xml:space="preserve">gated STT seconds per caller second</t>
  </si>
  <si>
    <t xml:space="preserve">TEL</t>
  </si>
  <si>
    <t xml:space="preserve">telephony INR per billed minute (0.38-0.48; 1600-series unpublished)</t>
  </si>
  <si>
    <t xml:space="preserve">INFRA</t>
  </si>
  <si>
    <t xml:space="preserve">orchestration INR per connected minute (assumption 0.01-0.06)</t>
  </si>
  <si>
    <t xml:space="preserve">PRICE</t>
  </si>
  <si>
    <t xml:space="preserve">price INR per connected minute</t>
  </si>
  <si>
    <t xml:space="preserve">GST_RATE</t>
  </si>
  <si>
    <t xml:space="preserve">GST rate</t>
  </si>
  <si>
    <t xml:space="preserve">GST_INCL</t>
  </si>
  <si>
    <t xml:space="preserve">1 if PRICE includes GST, 0 if GST is added on top</t>
  </si>
  <si>
    <t xml:space="preserve">Allowed AI cost per minute = net price x (1 - margin) - telephony - infra (live formulas on Params)</t>
  </si>
  <si>
    <t xml:space="preserve">GST treatment</t>
  </si>
  <si>
    <t xml:space="preserve">margin</t>
  </si>
  <si>
    <t xml:space="preserve">telephony 0.38</t>
  </si>
  <si>
    <t xml:space="preserve">0.43</t>
  </si>
  <si>
    <t xml:space="preserve">0.48</t>
  </si>
  <si>
    <t xml:space="preserve">1600 sens. 0.60</t>
  </si>
  <si>
    <t xml:space="preserve">1600 sens. 0.80</t>
  </si>
  <si>
    <t xml:space="preserve">at Params TEL</t>
  </si>
  <si>
    <t xml:space="preserve">ex-GST (GST on top)</t>
  </si>
  <si>
    <t xml:space="preserve">GST-inclusive</t>
  </si>
  <si>
    <t xml:space="preserve">Price needed for a given AI cost: (AI + TEL + INFRA) / (1 - margin), ex-GST</t>
  </si>
  <si>
    <t xml:space="preserve">price at 40%</t>
  </si>
  <si>
    <t xml:space="preserve">price at 50%</t>
  </si>
  <si>
    <t xml:space="preserve">price at 60%</t>
  </si>
  <si>
    <t xml:space="preserve">AI cost INR/min</t>
  </si>
  <si>
    <t xml:space="preserve">id</t>
  </si>
  <si>
    <t xml:space="preserve">L_min</t>
  </si>
  <si>
    <t xml:space="preserve">stt_mode</t>
  </si>
  <si>
    <t xml:space="preserve">stt_usd_per_s</t>
  </si>
  <si>
    <t xml:space="preserve">stt_inr_per_s</t>
  </si>
  <si>
    <t xml:space="preserve">stt_text_tok_per_exch</t>
  </si>
  <si>
    <t xml:space="preserve">stt_text_usd_per_tok</t>
  </si>
  <si>
    <t xml:space="preserve">stt_fixed_inr</t>
  </si>
  <si>
    <t xml:space="preserve">llm_in_usd_1m</t>
  </si>
  <si>
    <t xml:space="preserve">llm_cached_usd_1m</t>
  </si>
  <si>
    <t xml:space="preserve">llm_out_usd_1m</t>
  </si>
  <si>
    <t xml:space="preserve">cache_share</t>
  </si>
  <si>
    <t xml:space="preserve">P0_tok</t>
  </si>
  <si>
    <t xml:space="preserve">growth_tok_per_exch</t>
  </si>
  <si>
    <t xml:space="preserve">waste</t>
  </si>
  <si>
    <t xml:space="preserve">out_tok_per_exch</t>
  </si>
  <si>
    <t xml:space="preserve">llm_fee_x_ledger</t>
  </si>
  <si>
    <t xml:space="preserve">s_extra_tok</t>
  </si>
  <si>
    <t xml:space="preserve">tts_usd_per_agent_s</t>
  </si>
  <si>
    <t xml:space="preserve">tts_inr_per_agent_s</t>
  </si>
  <si>
    <t xml:space="preserve">tts_lead_s</t>
  </si>
  <si>
    <t xml:space="preserve">tts_text_tok_per_exch</t>
  </si>
  <si>
    <t xml:space="preserve">tts_text_usd_per_tok</t>
  </si>
  <si>
    <t xml:space="preserve">tts_fixed_inr</t>
  </si>
  <si>
    <t xml:space="preserve">learn</t>
  </si>
  <si>
    <t xml:space="preserve">STT</t>
  </si>
  <si>
    <t xml:space="preserve">LLM</t>
  </si>
  <si>
    <t xml:space="preserve">TTS</t>
  </si>
  <si>
    <t xml:space="preserve">LEARN</t>
  </si>
  <si>
    <t xml:space="preserve">AI</t>
  </si>
  <si>
    <t xml:space="preserve">TEL_per_min</t>
  </si>
  <si>
    <t xml:space="preserve">COGS</t>
  </si>
  <si>
    <t xml:space="preserve">price_at_40</t>
  </si>
  <si>
    <t xml:space="preserve">price_at_50</t>
  </si>
  <si>
    <t xml:space="preserve">price_at_60</t>
  </si>
  <si>
    <t xml:space="preserve">margin_at_PRICE</t>
  </si>
  <si>
    <t xml:space="preserve">python_ai</t>
  </si>
  <si>
    <t xml:space="preserve">diff</t>
  </si>
  <si>
    <t xml:space="preserve">C1</t>
  </si>
  <si>
    <t xml:space="preserve">Azure STT + gpt-4.1-mini (South India) + Azure neural</t>
  </si>
  <si>
    <t xml:space="preserve">full</t>
  </si>
  <si>
    <t xml:space="preserve">C1g</t>
  </si>
  <si>
    <t xml:space="preserve">C1 with VAD-gated STT</t>
  </si>
  <si>
    <t xml:space="preserve">gated</t>
  </si>
  <si>
    <t xml:space="preserve">C2</t>
  </si>
  <si>
    <t xml:space="preserve">Azure STT + gpt-4.1-mini + Azure DragonHD</t>
  </si>
  <si>
    <t xml:space="preserve">C3</t>
  </si>
  <si>
    <t xml:space="preserve">Azure STT + gpt-oss-120b@Groq + Azure DragonHD</t>
  </si>
  <si>
    <t xml:space="preserve">C6</t>
  </si>
  <si>
    <t xml:space="preserve">Gemini transcribe-live + gpt-oss-120b@Groq + Azure neural</t>
  </si>
  <si>
    <t xml:space="preserve">C6g</t>
  </si>
  <si>
    <t xml:space="preserve">C6 with VAD-gated STT (cheapest measured)</t>
  </si>
  <si>
    <t xml:space="preserve">C6g-HD</t>
  </si>
  <si>
    <t xml:space="preserve">C6g with Azure DragonHD voice</t>
  </si>
  <si>
    <t xml:space="preserve">C8</t>
  </si>
  <si>
    <t xml:space="preserve">transcribe-live + gemini-3.5-flash-lite + Azure neural</t>
  </si>
  <si>
    <t xml:space="preserve">G-A</t>
  </si>
  <si>
    <t xml:space="preserve">All-Gemini: transcribe-live + 3.5-flash-lite + 3.8-flash-lite-tts</t>
  </si>
  <si>
    <t xml:space="preserve">G-A@2027</t>
  </si>
  <si>
    <t xml:space="preserve">G-E</t>
  </si>
  <si>
    <t xml:space="preserve">transcribe-live gated + gpt-oss@Groq + 3.8-flash-lite-tts</t>
  </si>
  <si>
    <t xml:space="preserve">G-E@2027</t>
  </si>
  <si>
    <t xml:space="preserve">SARV</t>
  </si>
  <si>
    <t xml:space="preserve">Sarvam STT gated + gpt-oss@Groq + Bulbul V4 Flash (Growth)</t>
  </si>
  <si>
    <t xml:space="preserve">INW</t>
  </si>
  <si>
    <t xml:space="preserve">Inworld all-in (STT-1 + Gemma 4 26B + TTS-2 Flash, Growth)</t>
  </si>
  <si>
    <t xml:space="preserve">SELF</t>
  </si>
  <si>
    <t xml:space="preserve">Self-host IndicConformer (L4) + gpt-oss@Groq + Veena (H100), E2E Networks</t>
  </si>
  <si>
    <t xml:space="preserve">fixed</t>
  </si>
  <si>
    <t xml:space="preserve">tier:base</t>
  </si>
  <si>
    <t xml:space="preserve">C6g: gated gemini-3.5-transcribe-live + gpt-oss-120b on Groq + Azure neural stock voice; persona + light memory</t>
  </si>
  <si>
    <t xml:space="preserve">tier:base-HD</t>
  </si>
  <si>
    <t xml:space="preserve">base with Azure DragonHD voice (the fallback if the panel rejects the neural voice)</t>
  </si>
  <si>
    <t xml:space="preserve">tier:plus</t>
  </si>
  <si>
    <t xml:space="preserve">base + learned memory in context (~4k tokens) + post-call learning pass (gpt-4.1-mini South India)</t>
  </si>
  <si>
    <t xml:space="preserve">tier:premium</t>
  </si>
  <si>
    <t xml:space="preserve">India-processed: Azure STT gated (Central India) + gpt-4.1-mini (South India) + Azure Custom Neural Voice; ~10k-token personal memory</t>
  </si>
  <si>
    <t xml:space="preserve">tier</t>
  </si>
  <si>
    <t xml:space="preserve">stack</t>
  </si>
  <si>
    <t xml:space="preserve">price ex-GST (edit)</t>
  </si>
  <si>
    <t xml:space="preserve">price incl. GST</t>
  </si>
  <si>
    <t xml:space="preserve">AI 3-min (Calc)</t>
  </si>
  <si>
    <t xml:space="preserve">COGS 3-min (Calc)</t>
  </si>
  <si>
    <t xml:space="preserve">margin 3-min (formula)</t>
  </si>
  <si>
    <t xml:space="preserve">MC AI minute-weighted</t>
  </si>
  <si>
    <t xml:space="preserve">MC COGS minute-weighted</t>
  </si>
  <si>
    <t xml:space="preserve">MC margin minute-weighted</t>
  </si>
  <si>
    <t xml:space="preserve">MC P(call margin&gt;=40%)</t>
  </si>
  <si>
    <t xml:space="preserve">price for 40% (MC)</t>
  </si>
  <si>
    <t xml:space="preserve">price for 50% (MC)</t>
  </si>
  <si>
    <t xml:space="preserve">dedicated-voice fee INR/month</t>
  </si>
  <si>
    <t xml:space="preserve">base</t>
  </si>
  <si>
    <t xml:space="preserve">base-HD</t>
  </si>
  <si>
    <t xml:space="preserve">plus</t>
  </si>
  <si>
    <t xml:space="preserve">premium</t>
  </si>
  <si>
    <t xml:space="preserve">Gemini Live AI cost, INR per connected minute, g5 paid meter (lanes/g5-gemini-paid/results/cost_per_minute_summary.csv), n=1-2 calls per cell</t>
  </si>
  <si>
    <t xml:space="preserve">model</t>
  </si>
  <si>
    <t xml:space="preserve">compression</t>
  </si>
  <si>
    <t xml:space="preserve">1 min</t>
  </si>
  <si>
    <t xml:space="preserve">3 min</t>
  </si>
  <si>
    <t xml:space="preserve">5 min</t>
  </si>
  <si>
    <t xml:space="preserve">10 min</t>
  </si>
  <si>
    <t xml:space="preserve">10 min / 1 min</t>
  </si>
  <si>
    <t xml:space="preserve">3.1</t>
  </si>
  <si>
    <t xml:space="preserve">off</t>
  </si>
  <si>
    <t xml:space="preserve">on6k</t>
  </si>
  <si>
    <t xml:space="preserve">3.8</t>
  </si>
  <si>
    <t xml:space="preserve">Tight compression (trigger 2500 / target 1500), 10 min: 3.1 2.85, 3.8 3.68; keeps ~17-27 s of audio history, so the agent forgets the call (g5).</t>
  </si>
  <si>
    <t xml:space="preserve">Modelled at the reference workload and MC ranges: see MC sheet rows L31, L38, L38c. Model vs meter: see Calibration.</t>
  </si>
  <si>
    <t xml:space="preserve">price_regime</t>
  </si>
  <si>
    <t xml:space="preserve">call_min</t>
  </si>
  <si>
    <t xml:space="preserve">ai_p10</t>
  </si>
  <si>
    <t xml:space="preserve">ai_p50</t>
  </si>
  <si>
    <t xml:space="preserve">ai_p90</t>
  </si>
  <si>
    <t xml:space="preserve">ai_mean</t>
  </si>
  <si>
    <t xml:space="preserve">cogs_p50</t>
  </si>
  <si>
    <t xml:space="preserve">ai_call_p50</t>
  </si>
  <si>
    <t xml:space="preserve">p_ai_within_budget_50pct</t>
  </si>
  <si>
    <t xml:space="preserve">p_margin_ge_40_at_inr2</t>
  </si>
  <si>
    <t xml:space="preserve">mix-short</t>
  </si>
  <si>
    <t xml:space="preserve">minute-weighted mean over the call-length mix</t>
  </si>
  <si>
    <t xml:space="preserve">mix-companion</t>
  </si>
  <si>
    <t xml:space="preserve">L31</t>
  </si>
  <si>
    <t xml:space="preserve">L38</t>
  </si>
  <si>
    <t xml:space="preserve">L38c</t>
  </si>
  <si>
    <t xml:space="preserve">RTM</t>
  </si>
  <si>
    <t xml:space="preserve">minutes_per_month</t>
  </si>
  <si>
    <t xml:space="preserve">C6g_payg</t>
  </si>
  <si>
    <t xml:space="preserve">C6g_with_azure_tts_commit</t>
  </si>
  <si>
    <t xml:space="preserve">azure_gated_stt_commit_oss_neural_commit</t>
  </si>
  <si>
    <t xml:space="preserve">inworld_allin_growth_credits</t>
  </si>
  <si>
    <t xml:space="preserve">selfhost_e2e_fleet_floor</t>
  </si>
  <si>
    <t xml:space="preserve">input</t>
  </si>
  <si>
    <t xml:space="preserve">low</t>
  </si>
  <si>
    <t xml:space="preserve">high</t>
  </si>
  <si>
    <t xml:space="preserve">ai_at_low</t>
  </si>
  <si>
    <t xml:space="preserve">ai_at_high</t>
  </si>
  <si>
    <t xml:space="preserve">ai_at_reference</t>
  </si>
  <si>
    <t xml:space="preserve">e</t>
  </si>
  <si>
    <t xml:space="preserve">or_ledger</t>
  </si>
  <si>
    <t xml:space="preserve">gr</t>
  </si>
  <si>
    <t xml:space="preserve">groq_cache</t>
  </si>
  <si>
    <t xml:space="preserve">s_extra_tokens (persona+memory above the lanes' harness prompt)</t>
  </si>
  <si>
    <t xml:space="preserve">vantage</t>
  </si>
  <si>
    <t xml:space="preserve">p50_ms</t>
  </si>
  <si>
    <t xml:space="preserve">p50_ci95</t>
  </si>
  <si>
    <t xml:space="preserve">p90_ms</t>
  </si>
  <si>
    <t xml:space="preserve">n</t>
  </si>
  <si>
    <t xml:space="preserve">cutins</t>
  </si>
  <si>
    <t xml:space="preserve">C1 Azure STT + gpt-4.1-mini + Azure neural</t>
  </si>
  <si>
    <t xml:space="preserve">Central India VM, no phone leg</t>
  </si>
  <si>
    <t xml:space="preserve">1,017-1,035</t>
  </si>
  <si>
    <t xml:space="preserve">58 (6)</t>
  </si>
  <si>
    <t xml:space="preserve">16/60 main (27%); 12/12 pause</t>
  </si>
  <si>
    <t xml:space="preserve">g3 results/rederived_latency.csv</t>
  </si>
  <si>
    <t xml:space="preserve">C1g C1 + VAD-gated STT</t>
  </si>
  <si>
    <t xml:space="preserve">Central India VM</t>
  </si>
  <si>
    <t xml:space="preserve">967-994</t>
  </si>
  <si>
    <t xml:space="preserve">28 (3)</t>
  </si>
  <si>
    <t xml:space="preserve">9/30; 6/6 pause</t>
  </si>
  <si>
    <t xml:space="preserve">g3 rederived_latency.csv</t>
  </si>
  <si>
    <t xml:space="preserve">C2 Azure STT + gpt-4.1-mini + DragonHD</t>
  </si>
  <si>
    <t xml:space="preserve">1,118-1,140</t>
  </si>
  <si>
    <t xml:space="preserve">9/60 (15%); 12/12</t>
  </si>
  <si>
    <t xml:space="preserve">C3 Azure STT + gpt-oss-120b@Groq + DragonHD</t>
  </si>
  <si>
    <t xml:space="preserve">1,029-1,077</t>
  </si>
  <si>
    <t xml:space="preserve">57 (6)</t>
  </si>
  <si>
    <t xml:space="preserve">16/60 (27%); 12/12</t>
  </si>
  <si>
    <t xml:space="preserve">C6 transcribe-live + gpt-oss@Groq + Azure neural</t>
  </si>
  <si>
    <t xml:space="preserve">1,010-1,052</t>
  </si>
  <si>
    <t xml:space="preserve">60 (6)</t>
  </si>
  <si>
    <t xml:space="preserve">19/60 (32%); 12/12</t>
  </si>
  <si>
    <t xml:space="preserve">C6g C6 + VAD-gated STT</t>
  </si>
  <si>
    <t xml:space="preserve">990-1,163</t>
  </si>
  <si>
    <t xml:space="preserve">30 (3)</t>
  </si>
  <si>
    <t xml:space="preserve">7/30 (23%); 6/6</t>
  </si>
  <si>
    <t xml:space="preserve">C7 Azure STT + gemini-3.5-flash-lite (free) + neural</t>
  </si>
  <si>
    <t xml:space="preserve">1,514-1,602</t>
  </si>
  <si>
    <t xml:space="preserve">56 (6)</t>
  </si>
  <si>
    <t xml:space="preserve">2/60; 12/12</t>
  </si>
  <si>
    <t xml:space="preserve">C8 transcribe-live + flash-lite (free) + neural</t>
  </si>
  <si>
    <t xml:space="preserve">1,654-1,718</t>
  </si>
  <si>
    <t xml:space="preserve">59 (6)</t>
  </si>
  <si>
    <t xml:space="preserve">G-D Azure STT + gpt-oss + 3.8-flash-lite-tts (computed)</t>
  </si>
  <si>
    <t xml:space="preserve">Central India VM components</t>
  </si>
  <si>
    <t xml:space="preserve">1,782-1,901</t>
  </si>
  <si>
    <t xml:space="preserve">57 x 40 TTS</t>
  </si>
  <si>
    <t xml:space="preserve">n/a</t>
  </si>
  <si>
    <t xml:space="preserve">g3 composite_gemini_tts_latency.csv</t>
  </si>
  <si>
    <t xml:space="preserve">G-A all-Gemini lite (computed)</t>
  </si>
  <si>
    <t xml:space="preserve">2,498-2,566</t>
  </si>
  <si>
    <t xml:space="preserve">59 x 40</t>
  </si>
  <si>
    <t xml:space="preserve">Round-2 config A (Azure STT 500 ms + gpt-4.1-mini + neural, say-first)</t>
  </si>
  <si>
    <t xml:space="preserve">989-1,017</t>
  </si>
  <si>
    <t xml:space="preserve">48 clean</t>
  </si>
  <si>
    <t xml:space="preserve">18-50% by config; 12/12</t>
  </si>
  <si>
    <t xml:space="preserve">2026-10-17 SYNTHESIS-v2 section 5 [LAT-02]</t>
  </si>
  <si>
    <t xml:space="preserve">Gemini 3.8 Live, paid key, Meera VAD</t>
  </si>
  <si>
    <t xml:space="preserve">950-1,253</t>
  </si>
  <si>
    <t xml:space="preserve">30 (6)</t>
  </si>
  <si>
    <t xml:space="preserve">22/53 talk-over (42%); 8/8 pause</t>
  </si>
  <si>
    <t xml:space="preserve">g5 results/latency_summary.csv</t>
  </si>
  <si>
    <t xml:space="preserve">Gemini 3.8 Live, free key, Meera VAD</t>
  </si>
  <si>
    <t xml:space="preserve">958-1,291</t>
  </si>
  <si>
    <t xml:space="preserve">31 (6)</t>
  </si>
  <si>
    <t xml:space="preserve">23/54</t>
  </si>
  <si>
    <t xml:space="preserve">g5 latency_summary.csv</t>
  </si>
  <si>
    <t xml:space="preserve">Gemini 3.8 Live + thinkingBudget:0 (free key)</t>
  </si>
  <si>
    <t xml:space="preserve">784-847</t>
  </si>
  <si>
    <t xml:space="preserve">26 (4)</t>
  </si>
  <si>
    <t xml:space="preserve">52% of spoken turns</t>
  </si>
  <si>
    <t xml:space="preserve">g2 results/latency_summary.csv</t>
  </si>
  <si>
    <t xml:space="preserve">Gemini 3.8 Live, default thinking (free key)</t>
  </si>
  <si>
    <t xml:space="preserve">1,122-1,428</t>
  </si>
  <si>
    <t xml:space="preserve">52 (6)</t>
  </si>
  <si>
    <t xml:space="preserve">34%</t>
  </si>
  <si>
    <t xml:space="preserve">Gemini 3.1 flash live, paid key (Meera's model)</t>
  </si>
  <si>
    <t xml:space="preserve">1,705-2,125</t>
  </si>
  <si>
    <t xml:space="preserve">33 (6)</t>
  </si>
  <si>
    <t xml:space="preserve">4/37; 6/6 pause</t>
  </si>
  <si>
    <t xml:space="preserve">Gemini 3.1 flash live, Meera config (free key)</t>
  </si>
  <si>
    <t xml:space="preserve">1,949-2,135</t>
  </si>
  <si>
    <t xml:space="preserve">37 (5)</t>
  </si>
  <si>
    <t xml:space="preserve">server VAD end alone 1.36 s</t>
  </si>
  <si>
    <t xml:space="preserve">Gemini 2.5 native audio (free key)</t>
  </si>
  <si>
    <t xml:space="preserve">-</t>
  </si>
  <si>
    <t xml:space="preserve">23 (4)</t>
  </si>
  <si>
    <t xml:space="preserve">48%</t>
  </si>
  <si>
    <t xml:space="preserve">Gemini 3.8 Live, paid key</t>
  </si>
  <si>
    <t xml:space="preserve">sandbox US-East via proxy</t>
  </si>
  <si>
    <t xml:space="preserve">1,164-1,572</t>
  </si>
  <si>
    <t xml:space="preserve">43 (6)</t>
  </si>
  <si>
    <t xml:space="preserve">11/54</t>
  </si>
  <si>
    <t xml:space="preserve">TTS gemini-3.8-flash-lite-tts stream (paid), first byte</t>
  </si>
  <si>
    <t xml:space="preserve">40 requests</t>
  </si>
  <si>
    <t xml:space="preserve">+0.14-0.36 s leading silence</t>
  </si>
  <si>
    <t xml:space="preserve">g5 tts_summary.csv</t>
  </si>
  <si>
    <t xml:space="preserve">TTS Azure neural Swara, first byte</t>
  </si>
  <si>
    <t xml:space="preserve">g3 results/tts_india_az.csv</t>
  </si>
  <si>
    <t xml:space="preserve">LLM gpt-oss-120b@Groq via OpenRouter, TTFT</t>
  </si>
  <si>
    <t xml:space="preserve">g3 results/llm_india_summary.csv</t>
  </si>
  <si>
    <t xml:space="preserve">LLM gpt-4.1-mini South India, TTFT</t>
  </si>
  <si>
    <t xml:space="preserve">LLM gemini-3.5-flash-lite free tier, TTFT</t>
  </si>
  <si>
    <t xml:space="preserve">tag</t>
  </si>
  <si>
    <t xml:space="preserve">invocations_per_min</t>
  </si>
  <si>
    <t xml:space="preserve">agent_s_per_min</t>
  </si>
  <si>
    <t xml:space="preserve">caller_s_per_min</t>
  </si>
  <si>
    <t xml:space="preserve">measured_inr_min</t>
  </si>
  <si>
    <t xml:space="preserve">model_inr_min</t>
  </si>
  <si>
    <t xml:space="preserve">model_vs_measured</t>
  </si>
  <si>
    <t xml:space="preserve">cost_g31_10m_off_a</t>
  </si>
  <si>
    <t xml:space="preserve">cost_g31_10m_off_b</t>
  </si>
  <si>
    <t xml:space="preserve">cost_g31_10m_on2k5_a</t>
  </si>
  <si>
    <t xml:space="preserve">on:2500:1500</t>
  </si>
  <si>
    <t xml:space="preserve">cost_g31_10m_on6k_a</t>
  </si>
  <si>
    <t xml:space="preserve">on:6000:3000</t>
  </si>
  <si>
    <t xml:space="preserve">cost_g31_10m_on6k_b</t>
  </si>
  <si>
    <t xml:space="preserve">cost_g31_1m_off_a</t>
  </si>
  <si>
    <t xml:space="preserve">cost_g31_1m_on6k_a</t>
  </si>
  <si>
    <t xml:space="preserve">cost_g31_3m_off_a</t>
  </si>
  <si>
    <t xml:space="preserve">cost_g31_3m_off_b</t>
  </si>
  <si>
    <t xml:space="preserve">cost_g31_3m_on6k_a</t>
  </si>
  <si>
    <t xml:space="preserve">cost_g31_3m_on6k_b</t>
  </si>
  <si>
    <t xml:space="preserve">cost_g31_5m_off_a</t>
  </si>
  <si>
    <t xml:space="preserve">cost_g31_5m_on6k_a</t>
  </si>
  <si>
    <t xml:space="preserve">cost_g38_10m_off_a</t>
  </si>
  <si>
    <t xml:space="preserve">cost_g38_10m_off_b</t>
  </si>
  <si>
    <t xml:space="preserve">cost_g38_10m_on2k5_a</t>
  </si>
  <si>
    <t xml:space="preserve">cost_g38_10m_on6k_a</t>
  </si>
  <si>
    <t xml:space="preserve">cost_g38_10m_on6k_b</t>
  </si>
  <si>
    <t xml:space="preserve">cost_g38_1m_off_a</t>
  </si>
  <si>
    <t xml:space="preserve">cost_g38_1m_on6k_a</t>
  </si>
  <si>
    <t xml:space="preserve">cost_g38_3m_off_a</t>
  </si>
  <si>
    <t xml:space="preserve">cost_g38_3m_off_b</t>
  </si>
  <si>
    <t xml:space="preserve">cost_g38_3m_on6k_a</t>
  </si>
  <si>
    <t xml:space="preserve">cost_g38_3m_on6k_b</t>
  </si>
  <si>
    <t xml:space="preserve">cost_g38_5m_off_a</t>
  </si>
  <si>
    <t xml:space="preserve">cost_g38_5m_on6k_a</t>
  </si>
  <si>
    <t xml:space="preserve">evidence</t>
  </si>
  <si>
    <t xml:space="preserve">stt_inr_min</t>
  </si>
  <si>
    <t xml:space="preserve">llm_or_s2s_inr_min</t>
  </si>
  <si>
    <t xml:space="preserve">tts_inr_min</t>
  </si>
  <si>
    <t xml:space="preserve">ai_inr_min</t>
  </si>
  <si>
    <t xml:space="preserve">ai_inr_call</t>
  </si>
  <si>
    <t xml:space="preserve">telephony_inr_min</t>
  </si>
  <si>
    <t xml:space="preserve">cogs_inr_min</t>
  </si>
  <si>
    <t xml:space="preserve">cogs_inr_call</t>
  </si>
  <si>
    <t xml:space="preserve">price_ex_gst_at_40</t>
  </si>
  <si>
    <t xml:space="preserve">price_ex_gst_at_50</t>
  </si>
  <si>
    <t xml:space="preserve">price_ex_gst_at_60</t>
  </si>
  <si>
    <t xml:space="preserve">margin_at_inr2_ex_gst</t>
  </si>
  <si>
    <t xml:space="preserve">margin_at_inr2_gst_incl</t>
  </si>
  <si>
    <t xml:space="preserve">latency_india_p50_p90_ms</t>
  </si>
  <si>
    <t xml:space="preserve">measured end-to-end (g3)</t>
  </si>
  <si>
    <t xml:space="preserve">1,026 / 1,143</t>
  </si>
  <si>
    <t xml:space="preserve">27% main, 12/12 pause</t>
  </si>
  <si>
    <t xml:space="preserve">measured end-to-end, 1 pass (g3)</t>
  </si>
  <si>
    <t xml:space="preserve">989 / 1,072</t>
  </si>
  <si>
    <t xml:space="preserve">30% main, 6/6 pause</t>
  </si>
  <si>
    <t xml:space="preserve">1,133 / 1,231</t>
  </si>
  <si>
    <t xml:space="preserve">15% main, 12/12 pause</t>
  </si>
  <si>
    <t xml:space="preserve">1,044 / 1,230</t>
  </si>
  <si>
    <t xml:space="preserve">1,031 / 1,404</t>
  </si>
  <si>
    <t xml:space="preserve">32% main, 12/12 pause</t>
  </si>
  <si>
    <t xml:space="preserve">1,038 / 1,453</t>
  </si>
  <si>
    <t xml:space="preserve">23% main, 6/6 pause</t>
  </si>
  <si>
    <t xml:space="preserve">computed from measured parts</t>
  </si>
  <si>
    <t xml:space="preserve">~1,090 (computed: C6 + 56 ms HD first byte)</t>
  </si>
  <si>
    <t xml:space="preserve">as C6g</t>
  </si>
  <si>
    <t xml:space="preserve">measured end-to-end (g3, free tier)</t>
  </si>
  <si>
    <t xml:space="preserve">1,688 / 1,789 (fails 1.2 s)</t>
  </si>
  <si>
    <t xml:space="preserve">3% main, 12/12 pause</t>
  </si>
  <si>
    <t xml:space="preserve">computed composite (g3 + g5 TTS)</t>
  </si>
  <si>
    <t xml:space="preserve">2,532 / 2,722 (fails)</t>
  </si>
  <si>
    <t xml:space="preserve">1,978 / 2,405 (fails)</t>
  </si>
  <si>
    <t xml:space="preserve">desk-priced (g4); not measured</t>
  </si>
  <si>
    <t xml:space="preserve">not measured</t>
  </si>
  <si>
    <t xml:space="preserve">desk-priced (g4); Hindi and India latency not measured</t>
  </si>
  <si>
    <t xml:space="preserve">vendor-claim 462 ms after turn close (+~954 ms VAD)</t>
  </si>
  <si>
    <t xml:space="preserve">desk; throughput vendor-claim; needs ~0.7-0.9M min/month</t>
  </si>
  <si>
    <t xml:space="preserve">not measured (Veena vendor-claim &lt;80 ms TTS)</t>
  </si>
  <si>
    <t xml:space="preserve">Gemini 3.1 flash live (Meera's model; shuts 2026-11-17)</t>
  </si>
  <si>
    <t xml:space="preserve">measured paid meter (g5) + calibrated model</t>
  </si>
  <si>
    <t xml:space="preserve">1,950 / 5,299</t>
  </si>
  <si>
    <t xml:space="preserve">11% main, 26/26 pause</t>
  </si>
  <si>
    <t xml:space="preserve">Gemini 3.8 Live, no compression</t>
  </si>
  <si>
    <t xml:space="preserve">1,006 / 1,524</t>
  </si>
  <si>
    <t xml:space="preserve">42% talk-over, 8/8 pause</t>
  </si>
  <si>
    <t xml:space="preserve">Gemini 3.8 Live, compression 6000/3000</t>
  </si>
  <si>
    <t xml:space="preserve">as L38</t>
  </si>
  <si>
    <t xml:space="preserve">OpenAI gpt-realtime-2.1-mini (prefix caching)</t>
  </si>
  <si>
    <t xml:space="preserve">desk computation (g4); not measured</t>
  </si>
  <si>
    <t xml:space="preserve">not measured from India</t>
  </si>
  <si>
    <t xml:space="preserve">L31-g5-off</t>
  </si>
  <si>
    <t xml:space="preserve">Gemini 3.1 Live, compression off (g5 paid meter)</t>
  </si>
  <si>
    <t xml:space="preserve">measured paid meter, n=1-2 calls per cell (g5 cost_per_minute_summary.csv)</t>
  </si>
  <si>
    <t xml:space="preserve">2026 (no change announced)</t>
  </si>
  <si>
    <t xml:space="preserve">L31-g5-on6k</t>
  </si>
  <si>
    <t xml:space="preserve">Gemini 3.1 Live, compression on6k (g5 paid meter)</t>
  </si>
  <si>
    <t xml:space="preserve">L38-g5-off</t>
  </si>
  <si>
    <t xml:space="preserve">Gemini 3.8 Live, compression off (g5 paid meter)</t>
  </si>
  <si>
    <t xml:space="preserve">L38-g5-on6k</t>
  </si>
  <si>
    <t xml:space="preserve">Gemini 3.8 Live, compression on6k (g5 paid meter)</t>
  </si>
  <si>
    <t xml:space="preserve">gst_treatment</t>
  </si>
  <si>
    <t xml:space="preserve">net_revenue</t>
  </si>
  <si>
    <t xml:space="preserve">gross_margin</t>
  </si>
  <si>
    <t xml:space="preserve">telephony_note</t>
  </si>
  <si>
    <t xml:space="preserve">allowed_ai_inr_min</t>
  </si>
  <si>
    <t xml:space="preserve">ex-GST (GST added on top)</t>
  </si>
  <si>
    <t xml:space="preserve">brief range 0.38-0.48</t>
  </si>
  <si>
    <t xml:space="preserve">1600-series sensitivity (no published price)</t>
  </si>
  <si>
    <t xml:space="preserve">GST-inclusive (18% inside)</t>
  </si>
  <si>
    <t xml:space="preserve">price_inr_min_ex_gst</t>
  </si>
  <si>
    <t xml:space="preserve">price_inr_call_ex_gst</t>
  </si>
  <si>
    <t xml:space="preserve">price_inr_min_incl_gst</t>
  </si>
  <si>
    <t xml:space="preserve">stt</t>
  </si>
  <si>
    <t xml:space="preserve">llm</t>
  </si>
  <si>
    <t xml:space="preserve">tts</t>
  </si>
  <si>
    <t xml:space="preserve">telephony</t>
  </si>
  <si>
    <t xml:space="preserve">infra</t>
  </si>
  <si>
    <t xml:space="preserve">margin_if_telephony_passed_through</t>
  </si>
  <si>
    <t xml:space="preserve">margin_if_1600_telephony_0_60</t>
  </si>
  <si>
    <t xml:space="preserve">margin_if_1600_telephony_0_80</t>
  </si>
  <si>
    <t xml:space="preserve">voice_fee_inr_month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</si>
</sst>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4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4" min="3" style="0" width="8"/>
    <col collapsed="false" customWidth="true" hidden="false" outlineLevel="0" max="5" min="5" style="0" width="60"/>
    <col collapsed="false" customWidth="true" hidden="false" outlineLevel="0" max="6" min="6" style="0" width="7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7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customFormat="false" ht="15" hidden="false" customHeight="false" outlineLevel="0" collapsed="false">
      <c r="A2" s="0" t="s">
        <v>19</v>
      </c>
      <c r="B2" s="0" t="n">
        <v>95</v>
      </c>
      <c r="C2" s="0" t="n">
        <v>90</v>
      </c>
      <c r="D2" s="0" t="n">
        <v>100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</row>
    <row r="3" customFormat="false" ht="15" hidden="false" customHeight="false" outlineLevel="0" collapsed="false">
      <c r="A3" s="0" t="s">
        <v>25</v>
      </c>
      <c r="B3" s="0" t="n">
        <v>5</v>
      </c>
      <c r="C3" s="0" t="n">
        <v>3</v>
      </c>
      <c r="D3" s="0" t="n">
        <v>7</v>
      </c>
      <c r="E3" s="0" t="s">
        <v>26</v>
      </c>
      <c r="F3" s="0" t="s">
        <v>27</v>
      </c>
      <c r="G3" s="0" t="s">
        <v>28</v>
      </c>
      <c r="H3" s="0" t="s">
        <v>23</v>
      </c>
      <c r="I3" s="0" t="s">
        <v>29</v>
      </c>
    </row>
    <row r="4" customFormat="false" ht="15" hidden="false" customHeight="false" outlineLevel="0" collapsed="false">
      <c r="A4" s="0" t="s">
        <v>30</v>
      </c>
      <c r="B4" s="0" t="n">
        <v>24</v>
      </c>
      <c r="C4" s="0" t="n">
        <v>15</v>
      </c>
      <c r="D4" s="0" t="n">
        <v>40</v>
      </c>
      <c r="E4" s="0" t="s">
        <v>31</v>
      </c>
      <c r="F4" s="0" t="s">
        <v>32</v>
      </c>
      <c r="G4" s="0" t="s">
        <v>28</v>
      </c>
      <c r="H4" s="0" t="s">
        <v>23</v>
      </c>
      <c r="I4" s="0" t="s">
        <v>33</v>
      </c>
    </row>
    <row r="5" customFormat="false" ht="15" hidden="false" customHeight="false" outlineLevel="0" collapsed="false">
      <c r="A5" s="0" t="s">
        <v>34</v>
      </c>
      <c r="B5" s="0" t="n">
        <v>24</v>
      </c>
      <c r="C5" s="0" t="n">
        <v>12</v>
      </c>
      <c r="D5" s="0" t="n">
        <v>32</v>
      </c>
      <c r="E5" s="0" t="s">
        <v>35</v>
      </c>
      <c r="F5" s="0" t="s">
        <v>36</v>
      </c>
      <c r="G5" s="0" t="s">
        <v>28</v>
      </c>
      <c r="H5" s="0" t="s">
        <v>23</v>
      </c>
      <c r="I5" s="0" t="s">
        <v>37</v>
      </c>
    </row>
    <row r="6" customFormat="false" ht="15" hidden="false" customHeight="false" outlineLevel="0" collapsed="false">
      <c r="A6" s="0" t="s">
        <v>38</v>
      </c>
      <c r="B6" s="0" t="n">
        <v>1.186</v>
      </c>
      <c r="C6" s="0" t="n">
        <v>1.1</v>
      </c>
      <c r="D6" s="0" t="n">
        <v>1.4</v>
      </c>
      <c r="E6" s="0" t="s">
        <v>39</v>
      </c>
      <c r="F6" s="0" t="s">
        <v>40</v>
      </c>
      <c r="G6" s="0" t="s">
        <v>28</v>
      </c>
      <c r="H6" s="0" t="s">
        <v>41</v>
      </c>
      <c r="I6" s="0" t="s">
        <v>42</v>
      </c>
    </row>
    <row r="7" customFormat="false" ht="15" hidden="false" customHeight="false" outlineLevel="0" collapsed="false">
      <c r="A7" s="0" t="s">
        <v>43</v>
      </c>
      <c r="B7" s="0" t="n">
        <v>1</v>
      </c>
      <c r="E7" s="0" t="s">
        <v>44</v>
      </c>
      <c r="F7" s="0" t="s">
        <v>45</v>
      </c>
      <c r="G7" s="0" t="s">
        <v>22</v>
      </c>
      <c r="H7" s="0" t="s">
        <v>46</v>
      </c>
    </row>
    <row r="8" customFormat="false" ht="15" hidden="false" customHeight="false" outlineLevel="0" collapsed="false">
      <c r="A8" s="0" t="s">
        <v>47</v>
      </c>
      <c r="B8" s="0" t="n">
        <v>15</v>
      </c>
      <c r="E8" s="0" t="s">
        <v>48</v>
      </c>
      <c r="F8" s="0" t="s">
        <v>49</v>
      </c>
      <c r="G8" s="0" t="s">
        <v>22</v>
      </c>
      <c r="H8" s="0" t="s">
        <v>46</v>
      </c>
    </row>
    <row r="9" customFormat="false" ht="15" hidden="false" customHeight="false" outlineLevel="0" collapsed="false">
      <c r="A9" s="0" t="s">
        <v>50</v>
      </c>
      <c r="B9" s="0" t="n">
        <v>22</v>
      </c>
      <c r="E9" s="0" t="s">
        <v>51</v>
      </c>
      <c r="F9" s="0" t="s">
        <v>49</v>
      </c>
      <c r="G9" s="0" t="s">
        <v>22</v>
      </c>
      <c r="H9" s="0" t="s">
        <v>46</v>
      </c>
    </row>
    <row r="10" customFormat="false" ht="15" hidden="false" customHeight="false" outlineLevel="0" collapsed="false">
      <c r="A10" s="0" t="s">
        <v>52</v>
      </c>
      <c r="B10" s="0" t="n">
        <v>24</v>
      </c>
      <c r="E10" s="0" t="s">
        <v>53</v>
      </c>
      <c r="F10" s="0" t="s">
        <v>54</v>
      </c>
      <c r="G10" s="0" t="s">
        <v>22</v>
      </c>
      <c r="H10" s="0" t="s">
        <v>46</v>
      </c>
    </row>
    <row r="11" customFormat="false" ht="15" hidden="false" customHeight="false" outlineLevel="0" collapsed="false">
      <c r="A11" s="0" t="s">
        <v>55</v>
      </c>
      <c r="B11" s="0" t="n">
        <v>4.032</v>
      </c>
      <c r="E11" s="0" t="s">
        <v>56</v>
      </c>
      <c r="F11" s="0" t="s">
        <v>54</v>
      </c>
      <c r="G11" s="0" t="s">
        <v>22</v>
      </c>
      <c r="H11" s="0" t="s">
        <v>46</v>
      </c>
      <c r="I11" s="0" t="e">
        <f aca="false">usd 2,943/month = inr 2.8 lakh/month per voice at FX 95</f>
        <v>#VALUE!</v>
      </c>
    </row>
    <row r="12" customFormat="false" ht="15" hidden="false" customHeight="false" outlineLevel="0" collapsed="false">
      <c r="A12" s="0" t="s">
        <v>57</v>
      </c>
      <c r="B12" s="0" t="n">
        <v>10.03</v>
      </c>
      <c r="C12" s="0" t="n">
        <v>9.3</v>
      </c>
      <c r="D12" s="0" t="n">
        <v>10.3</v>
      </c>
      <c r="E12" s="0" t="s">
        <v>58</v>
      </c>
      <c r="F12" s="0" t="s">
        <v>59</v>
      </c>
      <c r="G12" s="0" t="s">
        <v>28</v>
      </c>
      <c r="H12" s="0" t="s">
        <v>41</v>
      </c>
    </row>
    <row r="13" customFormat="false" ht="15" hidden="false" customHeight="false" outlineLevel="0" collapsed="false">
      <c r="A13" s="0" t="s">
        <v>60</v>
      </c>
      <c r="B13" s="0" t="n">
        <v>17.18</v>
      </c>
      <c r="C13" s="0" t="n">
        <v>15.3</v>
      </c>
      <c r="D13" s="0" t="n">
        <v>17.5</v>
      </c>
      <c r="E13" s="0" t="s">
        <v>61</v>
      </c>
      <c r="F13" s="0" t="s">
        <v>62</v>
      </c>
      <c r="G13" s="0" t="s">
        <v>28</v>
      </c>
      <c r="H13" s="0" t="s">
        <v>41</v>
      </c>
    </row>
    <row r="14" customFormat="false" ht="15" hidden="false" customHeight="false" outlineLevel="0" collapsed="false">
      <c r="A14" s="0" t="s">
        <v>63</v>
      </c>
      <c r="B14" s="0" t="n">
        <v>14.67</v>
      </c>
      <c r="C14" s="0" t="n">
        <v>11</v>
      </c>
      <c r="D14" s="0" t="n">
        <v>17.5</v>
      </c>
      <c r="E14" s="0" t="s">
        <v>64</v>
      </c>
      <c r="F14" s="0" t="s">
        <v>65</v>
      </c>
      <c r="G14" s="0" t="s">
        <v>28</v>
      </c>
      <c r="H14" s="0" t="s">
        <v>23</v>
      </c>
    </row>
    <row r="15" customFormat="false" ht="15" hidden="false" customHeight="false" outlineLevel="0" collapsed="false">
      <c r="A15" s="0" t="s">
        <v>66</v>
      </c>
      <c r="B15" s="0" t="n">
        <v>3.5</v>
      </c>
      <c r="E15" s="0" t="s">
        <v>67</v>
      </c>
      <c r="F15" s="0" t="s">
        <v>68</v>
      </c>
      <c r="G15" s="0" t="s">
        <v>28</v>
      </c>
      <c r="H15" s="0" t="s">
        <v>46</v>
      </c>
    </row>
    <row r="16" customFormat="false" ht="15" hidden="false" customHeight="false" outlineLevel="0" collapsed="false">
      <c r="A16" s="0" t="s">
        <v>69</v>
      </c>
      <c r="B16" s="0" t="n">
        <v>21</v>
      </c>
      <c r="E16" s="0" t="s">
        <v>70</v>
      </c>
      <c r="F16" s="0" t="s">
        <v>68</v>
      </c>
      <c r="G16" s="0" t="s">
        <v>28</v>
      </c>
      <c r="H16" s="0" t="s">
        <v>46</v>
      </c>
    </row>
    <row r="17" customFormat="false" ht="15" hidden="false" customHeight="false" outlineLevel="0" collapsed="false">
      <c r="A17" s="0" t="s">
        <v>71</v>
      </c>
      <c r="B17" s="0" t="n">
        <v>14.6</v>
      </c>
      <c r="E17" s="0" t="s">
        <v>72</v>
      </c>
      <c r="F17" s="0" t="s">
        <v>73</v>
      </c>
      <c r="G17" s="0" t="s">
        <v>28</v>
      </c>
      <c r="H17" s="0" t="s">
        <v>41</v>
      </c>
      <c r="I17" s="0" t="s">
        <v>74</v>
      </c>
    </row>
    <row r="18" customFormat="false" ht="15" hidden="false" customHeight="false" outlineLevel="0" collapsed="false">
      <c r="A18" s="0" t="s">
        <v>75</v>
      </c>
      <c r="B18" s="0" t="n">
        <v>6</v>
      </c>
      <c r="E18" s="0" t="s">
        <v>76</v>
      </c>
      <c r="F18" s="0" t="s">
        <v>68</v>
      </c>
      <c r="G18" s="0" t="s">
        <v>28</v>
      </c>
      <c r="H18" s="0" t="s">
        <v>46</v>
      </c>
    </row>
    <row r="19" customFormat="false" ht="15" hidden="false" customHeight="false" outlineLevel="0" collapsed="false">
      <c r="A19" s="0" t="s">
        <v>77</v>
      </c>
      <c r="B19" s="0" t="n">
        <v>12</v>
      </c>
      <c r="E19" s="0" t="s">
        <v>78</v>
      </c>
      <c r="F19" s="0" t="s">
        <v>68</v>
      </c>
      <c r="G19" s="0" t="s">
        <v>28</v>
      </c>
      <c r="H19" s="0" t="s">
        <v>46</v>
      </c>
    </row>
    <row r="20" customFormat="false" ht="15" hidden="false" customHeight="false" outlineLevel="0" collapsed="false">
      <c r="A20" s="0" t="s">
        <v>79</v>
      </c>
      <c r="B20" s="0" t="n">
        <v>9</v>
      </c>
      <c r="E20" s="0" t="s">
        <v>80</v>
      </c>
      <c r="F20" s="0" t="s">
        <v>68</v>
      </c>
      <c r="G20" s="0" t="s">
        <v>28</v>
      </c>
      <c r="H20" s="0" t="s">
        <v>46</v>
      </c>
    </row>
    <row r="21" customFormat="false" ht="15" hidden="false" customHeight="false" outlineLevel="0" collapsed="false">
      <c r="A21" s="0" t="s">
        <v>81</v>
      </c>
      <c r="B21" s="0" t="n">
        <v>18</v>
      </c>
      <c r="E21" s="0" t="s">
        <v>78</v>
      </c>
      <c r="F21" s="0" t="s">
        <v>68</v>
      </c>
      <c r="G21" s="0" t="s">
        <v>28</v>
      </c>
      <c r="H21" s="0" t="s">
        <v>46</v>
      </c>
    </row>
    <row r="22" customFormat="false" ht="15" hidden="false" customHeight="false" outlineLevel="0" collapsed="false">
      <c r="A22" s="0" t="s">
        <v>82</v>
      </c>
      <c r="B22" s="0" t="n">
        <v>0.5</v>
      </c>
      <c r="E22" s="0" t="s">
        <v>83</v>
      </c>
      <c r="F22" s="0" t="s">
        <v>68</v>
      </c>
      <c r="G22" s="0" t="s">
        <v>28</v>
      </c>
      <c r="H22" s="0" t="s">
        <v>46</v>
      </c>
    </row>
    <row r="23" customFormat="false" ht="15" hidden="false" customHeight="false" outlineLevel="0" collapsed="false">
      <c r="A23" s="0" t="s">
        <v>84</v>
      </c>
      <c r="B23" s="0" t="n">
        <v>0.25</v>
      </c>
      <c r="E23" s="0" t="s">
        <v>85</v>
      </c>
      <c r="F23" s="0" t="s">
        <v>86</v>
      </c>
      <c r="G23" s="0" t="s">
        <v>28</v>
      </c>
      <c r="H23" s="0" t="s">
        <v>41</v>
      </c>
    </row>
    <row r="24" customFormat="false" ht="15" hidden="false" customHeight="false" outlineLevel="0" collapsed="false">
      <c r="A24" s="0" t="s">
        <v>87</v>
      </c>
      <c r="B24" s="0" t="n">
        <v>0.3</v>
      </c>
      <c r="E24" s="0" t="s">
        <v>88</v>
      </c>
      <c r="F24" s="0" t="s">
        <v>68</v>
      </c>
      <c r="G24" s="0" t="s">
        <v>28</v>
      </c>
      <c r="H24" s="0" t="s">
        <v>46</v>
      </c>
    </row>
    <row r="25" customFormat="false" ht="15" hidden="false" customHeight="false" outlineLevel="0" collapsed="false">
      <c r="A25" s="0" t="s">
        <v>89</v>
      </c>
      <c r="B25" s="0" t="n">
        <v>0.75</v>
      </c>
      <c r="E25" s="0" t="s">
        <v>90</v>
      </c>
      <c r="F25" s="0" t="s">
        <v>91</v>
      </c>
      <c r="G25" s="0" t="s">
        <v>22</v>
      </c>
      <c r="H25" s="0" t="s">
        <v>46</v>
      </c>
    </row>
    <row r="26" customFormat="false" ht="15" hidden="false" customHeight="false" outlineLevel="0" collapsed="false">
      <c r="A26" s="0" t="s">
        <v>92</v>
      </c>
      <c r="B26" s="0" t="n">
        <v>3</v>
      </c>
      <c r="E26" s="0" t="s">
        <v>93</v>
      </c>
      <c r="F26" s="0" t="s">
        <v>68</v>
      </c>
      <c r="G26" s="0" t="s">
        <v>22</v>
      </c>
      <c r="H26" s="0" t="s">
        <v>46</v>
      </c>
    </row>
    <row r="27" customFormat="false" ht="15" hidden="false" customHeight="false" outlineLevel="0" collapsed="false">
      <c r="A27" s="0" t="s">
        <v>94</v>
      </c>
      <c r="B27" s="0" t="n">
        <v>4.5</v>
      </c>
      <c r="E27" s="0" t="s">
        <v>95</v>
      </c>
      <c r="F27" s="0" t="s">
        <v>68</v>
      </c>
      <c r="G27" s="0" t="s">
        <v>22</v>
      </c>
      <c r="H27" s="0" t="s">
        <v>46</v>
      </c>
    </row>
    <row r="28" customFormat="false" ht="15" hidden="false" customHeight="false" outlineLevel="0" collapsed="false">
      <c r="A28" s="0" t="s">
        <v>96</v>
      </c>
      <c r="B28" s="0" t="n">
        <v>12</v>
      </c>
      <c r="E28" s="0" t="s">
        <v>97</v>
      </c>
      <c r="F28" s="0" t="s">
        <v>68</v>
      </c>
      <c r="G28" s="0" t="s">
        <v>22</v>
      </c>
      <c r="H28" s="0" t="s">
        <v>46</v>
      </c>
      <c r="I28" s="0" t="s">
        <v>98</v>
      </c>
    </row>
    <row r="29" customFormat="false" ht="15" hidden="false" customHeight="false" outlineLevel="0" collapsed="false">
      <c r="A29" s="0" t="s">
        <v>99</v>
      </c>
      <c r="B29" s="0" t="n">
        <v>0.15</v>
      </c>
      <c r="E29" s="0" t="s">
        <v>100</v>
      </c>
      <c r="F29" s="0" t="s">
        <v>49</v>
      </c>
      <c r="G29" s="0" t="s">
        <v>22</v>
      </c>
      <c r="H29" s="0" t="s">
        <v>46</v>
      </c>
    </row>
    <row r="30" customFormat="false" ht="15" hidden="false" customHeight="false" outlineLevel="0" collapsed="false">
      <c r="A30" s="0" t="s">
        <v>101</v>
      </c>
      <c r="B30" s="0" t="n">
        <v>0.055</v>
      </c>
      <c r="E30" s="0" t="s">
        <v>102</v>
      </c>
      <c r="F30" s="0" t="s">
        <v>103</v>
      </c>
      <c r="G30" s="0" t="s">
        <v>28</v>
      </c>
      <c r="H30" s="0" t="s">
        <v>46</v>
      </c>
      <c r="I30" s="0" t="s">
        <v>104</v>
      </c>
    </row>
    <row r="31" customFormat="false" ht="15" hidden="false" customHeight="false" outlineLevel="0" collapsed="false">
      <c r="A31" s="0" t="s">
        <v>105</v>
      </c>
      <c r="B31" s="0" t="n">
        <v>1.2</v>
      </c>
      <c r="C31" s="0" t="n">
        <v>1</v>
      </c>
      <c r="D31" s="0" t="n">
        <v>1.45</v>
      </c>
      <c r="E31" s="0" t="s">
        <v>106</v>
      </c>
      <c r="F31" s="0" t="s">
        <v>107</v>
      </c>
      <c r="G31" s="0" t="s">
        <v>22</v>
      </c>
      <c r="H31" s="0" t="s">
        <v>41</v>
      </c>
      <c r="I31" s="0" t="s">
        <v>108</v>
      </c>
    </row>
    <row r="32" customFormat="false" ht="15" hidden="false" customHeight="false" outlineLevel="0" collapsed="false">
      <c r="A32" s="0" t="s">
        <v>109</v>
      </c>
      <c r="B32" s="0" t="n">
        <v>0.44</v>
      </c>
      <c r="E32" s="0" t="s">
        <v>110</v>
      </c>
      <c r="F32" s="0" t="s">
        <v>49</v>
      </c>
      <c r="G32" s="0" t="s">
        <v>22</v>
      </c>
      <c r="H32" s="0" t="s">
        <v>46</v>
      </c>
    </row>
    <row r="33" customFormat="false" ht="15" hidden="false" customHeight="false" outlineLevel="0" collapsed="false">
      <c r="A33" s="0" t="s">
        <v>111</v>
      </c>
      <c r="B33" s="0" t="n">
        <v>0.07</v>
      </c>
      <c r="E33" s="0" t="s">
        <v>112</v>
      </c>
      <c r="F33" s="0" t="s">
        <v>113</v>
      </c>
      <c r="G33" s="0" t="s">
        <v>28</v>
      </c>
      <c r="H33" s="0" t="s">
        <v>46</v>
      </c>
    </row>
    <row r="34" customFormat="false" ht="15" hidden="false" customHeight="false" outlineLevel="0" collapsed="false">
      <c r="A34" s="0" t="s">
        <v>114</v>
      </c>
      <c r="B34" s="0" t="n">
        <v>0.41</v>
      </c>
      <c r="E34" s="0" t="s">
        <v>115</v>
      </c>
      <c r="F34" s="0" t="s">
        <v>113</v>
      </c>
      <c r="G34" s="0" t="s">
        <v>28</v>
      </c>
      <c r="H34" s="0" t="s">
        <v>46</v>
      </c>
    </row>
    <row r="35" customFormat="false" ht="15" hidden="false" customHeight="false" outlineLevel="0" collapsed="false">
      <c r="A35" s="0" t="s">
        <v>116</v>
      </c>
      <c r="B35" s="0" t="n">
        <v>1.7</v>
      </c>
      <c r="E35" s="0" t="s">
        <v>117</v>
      </c>
      <c r="F35" s="0" t="s">
        <v>113</v>
      </c>
      <c r="G35" s="0" t="s">
        <v>28</v>
      </c>
      <c r="H35" s="0" t="s">
        <v>46</v>
      </c>
    </row>
    <row r="36" customFormat="false" ht="15" hidden="false" customHeight="false" outlineLevel="0" collapsed="false">
      <c r="A36" s="0" t="s">
        <v>118</v>
      </c>
      <c r="B36" s="0" t="n">
        <v>0.1</v>
      </c>
      <c r="E36" s="0" t="s">
        <v>119</v>
      </c>
      <c r="F36" s="0" t="s">
        <v>113</v>
      </c>
      <c r="G36" s="0" t="s">
        <v>28</v>
      </c>
      <c r="H36" s="0" t="s">
        <v>46</v>
      </c>
    </row>
    <row r="37" customFormat="false" ht="15" hidden="false" customHeight="false" outlineLevel="0" collapsed="false">
      <c r="A37" s="0" t="s">
        <v>120</v>
      </c>
      <c r="B37" s="0" t="n">
        <v>7</v>
      </c>
      <c r="E37" s="0" t="s">
        <v>121</v>
      </c>
      <c r="F37" s="0" t="s">
        <v>113</v>
      </c>
      <c r="G37" s="0" t="s">
        <v>28</v>
      </c>
      <c r="H37" s="0" t="s">
        <v>46</v>
      </c>
    </row>
    <row r="38" customFormat="false" ht="15" hidden="false" customHeight="false" outlineLevel="0" collapsed="false">
      <c r="A38" s="0" t="s">
        <v>122</v>
      </c>
      <c r="B38" s="0" t="n">
        <v>1500</v>
      </c>
      <c r="E38" s="0" t="s">
        <v>123</v>
      </c>
      <c r="F38" s="0" t="s">
        <v>113</v>
      </c>
      <c r="G38" s="0" t="s">
        <v>28</v>
      </c>
      <c r="H38" s="0" t="s">
        <v>46</v>
      </c>
    </row>
    <row r="39" customFormat="false" ht="15" hidden="false" customHeight="false" outlineLevel="0" collapsed="false">
      <c r="A39" s="0" t="s">
        <v>124</v>
      </c>
      <c r="B39" s="0" t="n">
        <v>1.911</v>
      </c>
      <c r="C39" s="0" t="n">
        <v>1.5</v>
      </c>
      <c r="D39" s="0" t="n">
        <v>6.93</v>
      </c>
      <c r="E39" s="0" t="s">
        <v>125</v>
      </c>
      <c r="F39" s="0" t="s">
        <v>126</v>
      </c>
      <c r="G39" s="0" t="s">
        <v>28</v>
      </c>
      <c r="H39" s="0" t="s">
        <v>127</v>
      </c>
      <c r="I39" s="0" t="s">
        <v>128</v>
      </c>
    </row>
    <row r="40" customFormat="false" ht="15" hidden="false" customHeight="false" outlineLevel="0" collapsed="false">
      <c r="A40" s="0" t="s">
        <v>129</v>
      </c>
      <c r="B40" s="0" t="n">
        <v>0.0467</v>
      </c>
      <c r="E40" s="0" t="s">
        <v>130</v>
      </c>
      <c r="F40" s="0" t="s">
        <v>131</v>
      </c>
      <c r="G40" s="0" t="s">
        <v>28</v>
      </c>
      <c r="H40" s="0" t="s">
        <v>127</v>
      </c>
      <c r="I40" s="0" t="s">
        <v>132</v>
      </c>
    </row>
    <row r="41" customFormat="false" ht="15" hidden="false" customHeight="false" outlineLevel="0" collapsed="false">
      <c r="A41" s="0" t="s">
        <v>133</v>
      </c>
      <c r="B41" s="0" t="n">
        <v>0.139</v>
      </c>
      <c r="E41" s="0" t="s">
        <v>134</v>
      </c>
      <c r="F41" s="0" t="s">
        <v>131</v>
      </c>
      <c r="G41" s="0" t="s">
        <v>28</v>
      </c>
      <c r="H41" s="0" t="s">
        <v>127</v>
      </c>
    </row>
    <row r="42" customFormat="false" ht="15" hidden="false" customHeight="false" outlineLevel="0" collapsed="false">
      <c r="A42" s="0" t="s">
        <v>135</v>
      </c>
      <c r="B42" s="0" t="n">
        <v>71540</v>
      </c>
      <c r="E42" s="0" t="s">
        <v>136</v>
      </c>
      <c r="F42" s="0" t="s">
        <v>131</v>
      </c>
      <c r="G42" s="0" t="s">
        <v>28</v>
      </c>
      <c r="H42" s="0" t="s">
        <v>127</v>
      </c>
    </row>
    <row r="43" customFormat="false" ht="15" hidden="false" customHeight="false" outlineLevel="0" collapsed="false">
      <c r="A43" s="0" t="s">
        <v>137</v>
      </c>
      <c r="B43" s="0" t="n">
        <v>553413</v>
      </c>
      <c r="E43" s="0" t="s">
        <v>138</v>
      </c>
      <c r="F43" s="0" t="s">
        <v>131</v>
      </c>
      <c r="G43" s="0" t="s">
        <v>28</v>
      </c>
      <c r="H43" s="0" t="s">
        <v>127</v>
      </c>
    </row>
    <row r="44" customFormat="false" ht="15" hidden="false" customHeight="false" outlineLevel="0" collapsed="false">
      <c r="A44" s="0" t="s">
        <v>139</v>
      </c>
      <c r="B44" s="0" t="n">
        <v>0.43</v>
      </c>
      <c r="C44" s="0" t="n">
        <v>0.38</v>
      </c>
      <c r="D44" s="0" t="n">
        <v>0.48</v>
      </c>
      <c r="E44" s="0" t="s">
        <v>140</v>
      </c>
      <c r="F44" s="0" t="s">
        <v>141</v>
      </c>
      <c r="G44" s="0" t="s">
        <v>142</v>
      </c>
      <c r="H44" s="0" t="s">
        <v>46</v>
      </c>
      <c r="I44" s="0" t="s">
        <v>143</v>
      </c>
    </row>
    <row r="45" customFormat="false" ht="15" hidden="false" customHeight="false" outlineLevel="0" collapsed="false">
      <c r="A45" s="0" t="s">
        <v>144</v>
      </c>
      <c r="C45" s="0" t="n">
        <v>0.48</v>
      </c>
      <c r="D45" s="0" t="n">
        <v>0.8</v>
      </c>
      <c r="E45" s="0" t="s">
        <v>145</v>
      </c>
      <c r="F45" s="0" t="s">
        <v>146</v>
      </c>
      <c r="G45" s="0" t="s">
        <v>142</v>
      </c>
      <c r="H45" s="0" t="s">
        <v>23</v>
      </c>
      <c r="I45" s="0" t="s">
        <v>147</v>
      </c>
    </row>
    <row r="46" customFormat="false" ht="15" hidden="false" customHeight="false" outlineLevel="0" collapsed="false">
      <c r="A46" s="0" t="s">
        <v>148</v>
      </c>
      <c r="B46" s="0" t="n">
        <v>0.22</v>
      </c>
      <c r="E46" s="0" t="s">
        <v>149</v>
      </c>
      <c r="F46" s="0" t="s">
        <v>150</v>
      </c>
      <c r="G46" s="0" t="s">
        <v>142</v>
      </c>
      <c r="H46" s="0" t="s">
        <v>127</v>
      </c>
    </row>
    <row r="47" customFormat="false" ht="15" hidden="false" customHeight="false" outlineLevel="0" collapsed="false">
      <c r="A47" s="0" t="s">
        <v>151</v>
      </c>
      <c r="B47" s="0" t="n">
        <v>0.03</v>
      </c>
      <c r="C47" s="0" t="n">
        <v>0.01</v>
      </c>
      <c r="D47" s="0" t="n">
        <v>0.06</v>
      </c>
      <c r="E47" s="0" t="s">
        <v>152</v>
      </c>
      <c r="F47" s="0" t="s">
        <v>153</v>
      </c>
      <c r="G47" s="0" t="s">
        <v>22</v>
      </c>
      <c r="H47" s="0" t="s">
        <v>23</v>
      </c>
      <c r="I47" s="0" t="s">
        <v>154</v>
      </c>
    </row>
    <row r="48" customFormat="false" ht="15" hidden="false" customHeight="false" outlineLevel="0" collapsed="false">
      <c r="A48" s="0" t="s">
        <v>155</v>
      </c>
      <c r="B48" s="0" t="n">
        <v>0.18</v>
      </c>
      <c r="E48" s="0" t="s">
        <v>156</v>
      </c>
      <c r="F48" s="0" t="s">
        <v>157</v>
      </c>
      <c r="G48" s="0" t="s">
        <v>22</v>
      </c>
      <c r="H48" s="0" t="s">
        <v>46</v>
      </c>
      <c r="I48" s="0" t="s">
        <v>158</v>
      </c>
    </row>
    <row r="49" customFormat="false" ht="15" hidden="false" customHeight="false" outlineLevel="0" collapsed="false">
      <c r="A49" s="0" t="s">
        <v>159</v>
      </c>
      <c r="B49" s="0" t="n">
        <v>2</v>
      </c>
      <c r="E49" s="0" t="s">
        <v>160</v>
      </c>
      <c r="F49" s="0" t="s">
        <v>161</v>
      </c>
      <c r="G49" s="0" t="s">
        <v>28</v>
      </c>
      <c r="H49" s="0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70"/>
  </cols>
  <sheetData>
    <row r="1" customFormat="false" ht="15" hidden="false" customHeight="false" outlineLevel="0" collapsed="false">
      <c r="A1" s="1" t="s">
        <v>162</v>
      </c>
      <c r="B1" s="1" t="s">
        <v>11</v>
      </c>
      <c r="C1" s="1" t="s">
        <v>163</v>
      </c>
    </row>
    <row r="2" customFormat="false" ht="15" hidden="false" customHeight="false" outlineLevel="0" collapsed="false">
      <c r="A2" s="0" t="s">
        <v>164</v>
      </c>
      <c r="B2" s="2" t="n">
        <v>95</v>
      </c>
      <c r="C2" s="3" t="s">
        <v>20</v>
      </c>
    </row>
    <row r="3" customFormat="false" ht="15" hidden="false" customHeight="false" outlineLevel="0" collapsed="false">
      <c r="A3" s="0" t="s">
        <v>165</v>
      </c>
      <c r="B3" s="2" t="n">
        <v>5</v>
      </c>
      <c r="C3" s="3" t="s">
        <v>166</v>
      </c>
    </row>
    <row r="4" customFormat="false" ht="15" hidden="false" customHeight="false" outlineLevel="0" collapsed="false">
      <c r="A4" s="0" t="s">
        <v>167</v>
      </c>
      <c r="B4" s="2" t="n">
        <v>24</v>
      </c>
      <c r="C4" s="3" t="s">
        <v>168</v>
      </c>
    </row>
    <row r="5" customFormat="false" ht="15" hidden="false" customHeight="false" outlineLevel="0" collapsed="false">
      <c r="A5" s="0" t="s">
        <v>169</v>
      </c>
      <c r="B5" s="2" t="n">
        <v>24</v>
      </c>
      <c r="C5" s="3" t="s">
        <v>170</v>
      </c>
    </row>
    <row r="6" customFormat="false" ht="15" hidden="false" customHeight="false" outlineLevel="0" collapsed="false">
      <c r="A6" s="0" t="s">
        <v>171</v>
      </c>
      <c r="B6" s="2" t="n">
        <v>1.186</v>
      </c>
      <c r="C6" s="3" t="s">
        <v>172</v>
      </c>
    </row>
    <row r="7" customFormat="false" ht="15" hidden="false" customHeight="false" outlineLevel="0" collapsed="false">
      <c r="A7" s="0" t="s">
        <v>173</v>
      </c>
      <c r="B7" s="2" t="n">
        <v>0.43</v>
      </c>
      <c r="C7" s="3" t="s">
        <v>174</v>
      </c>
    </row>
    <row r="8" customFormat="false" ht="15" hidden="false" customHeight="false" outlineLevel="0" collapsed="false">
      <c r="A8" s="0" t="s">
        <v>175</v>
      </c>
      <c r="B8" s="2" t="n">
        <v>0.03</v>
      </c>
      <c r="C8" s="3" t="s">
        <v>176</v>
      </c>
    </row>
    <row r="9" customFormat="false" ht="15" hidden="false" customHeight="false" outlineLevel="0" collapsed="false">
      <c r="A9" s="0" t="s">
        <v>177</v>
      </c>
      <c r="B9" s="2" t="n">
        <v>2</v>
      </c>
      <c r="C9" s="3" t="s">
        <v>178</v>
      </c>
    </row>
    <row r="10" customFormat="false" ht="15" hidden="false" customHeight="false" outlineLevel="0" collapsed="false">
      <c r="A10" s="0" t="s">
        <v>179</v>
      </c>
      <c r="B10" s="2" t="n">
        <v>0.18</v>
      </c>
      <c r="C10" s="3" t="s">
        <v>180</v>
      </c>
    </row>
    <row r="11" customFormat="false" ht="15" hidden="false" customHeight="false" outlineLevel="0" collapsed="false">
      <c r="A11" s="0" t="s">
        <v>181</v>
      </c>
      <c r="B11" s="2" t="n">
        <v>0</v>
      </c>
      <c r="C11" s="3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</cols>
  <sheetData>
    <row r="1" customFormat="false" ht="15" hidden="false" customHeight="false" outlineLevel="0" collapsed="false">
      <c r="A1" s="1" t="s">
        <v>183</v>
      </c>
    </row>
    <row r="3" customFormat="false" ht="15" hidden="false" customHeight="false" outlineLevel="0" collapsed="false">
      <c r="A3" s="1" t="s">
        <v>184</v>
      </c>
      <c r="B3" s="1" t="s">
        <v>185</v>
      </c>
      <c r="C3" s="1" t="s">
        <v>186</v>
      </c>
      <c r="D3" s="1" t="s">
        <v>187</v>
      </c>
      <c r="E3" s="1" t="s">
        <v>188</v>
      </c>
      <c r="F3" s="1" t="s">
        <v>189</v>
      </c>
      <c r="G3" s="1" t="s">
        <v>190</v>
      </c>
      <c r="H3" s="1" t="s">
        <v>191</v>
      </c>
    </row>
    <row r="4" customFormat="false" ht="15" hidden="false" customHeight="false" outlineLevel="0" collapsed="false">
      <c r="A4" s="0" t="s">
        <v>192</v>
      </c>
      <c r="B4" s="0" t="n">
        <v>0.4</v>
      </c>
      <c r="C4" s="0" t="n">
        <f aca="false">ROUND(PRICE*(1-B4)-0.38-INFRA,3)</f>
        <v>0.79</v>
      </c>
      <c r="D4" s="0" t="n">
        <f aca="false">ROUND(PRICE*(1-B4)-0.43-INFRA,3)</f>
        <v>0.74</v>
      </c>
      <c r="E4" s="0" t="n">
        <f aca="false">ROUND(PRICE*(1-B4)-0.48-INFRA,3)</f>
        <v>0.69</v>
      </c>
      <c r="F4" s="0" t="n">
        <f aca="false">ROUND(PRICE*(1-B4)-0.6-INFRA,3)</f>
        <v>0.57</v>
      </c>
      <c r="G4" s="0" t="n">
        <f aca="false">ROUND(PRICE*(1-B4)-0.8-INFRA,3)</f>
        <v>0.37</v>
      </c>
      <c r="H4" s="0" t="n">
        <f aca="false">ROUND(PRICE*(1-B4)-TEL-INFRA,3)</f>
        <v>0.74</v>
      </c>
    </row>
    <row r="5" customFormat="false" ht="15" hidden="false" customHeight="false" outlineLevel="0" collapsed="false">
      <c r="A5" s="0" t="s">
        <v>192</v>
      </c>
      <c r="B5" s="0" t="n">
        <v>0.5</v>
      </c>
      <c r="C5" s="0" t="n">
        <f aca="false">ROUND(PRICE*(1-B5)-0.38-INFRA,3)</f>
        <v>0.59</v>
      </c>
      <c r="D5" s="0" t="n">
        <f aca="false">ROUND(PRICE*(1-B5)-0.43-INFRA,3)</f>
        <v>0.54</v>
      </c>
      <c r="E5" s="0" t="n">
        <f aca="false">ROUND(PRICE*(1-B5)-0.48-INFRA,3)</f>
        <v>0.49</v>
      </c>
      <c r="F5" s="0" t="n">
        <f aca="false">ROUND(PRICE*(1-B5)-0.6-INFRA,3)</f>
        <v>0.37</v>
      </c>
      <c r="G5" s="0" t="n">
        <f aca="false">ROUND(PRICE*(1-B5)-0.8-INFRA,3)</f>
        <v>0.17</v>
      </c>
      <c r="H5" s="0" t="n">
        <f aca="false">ROUND(PRICE*(1-B5)-TEL-INFRA,3)</f>
        <v>0.54</v>
      </c>
    </row>
    <row r="6" customFormat="false" ht="15" hidden="false" customHeight="false" outlineLevel="0" collapsed="false">
      <c r="A6" s="0" t="s">
        <v>192</v>
      </c>
      <c r="B6" s="0" t="n">
        <v>0.6</v>
      </c>
      <c r="C6" s="0" t="n">
        <f aca="false">ROUND(PRICE*(1-B6)-0.38-INFRA,3)</f>
        <v>0.39</v>
      </c>
      <c r="D6" s="0" t="n">
        <f aca="false">ROUND(PRICE*(1-B6)-0.43-INFRA,3)</f>
        <v>0.34</v>
      </c>
      <c r="E6" s="0" t="n">
        <f aca="false">ROUND(PRICE*(1-B6)-0.48-INFRA,3)</f>
        <v>0.29</v>
      </c>
      <c r="F6" s="0" t="n">
        <f aca="false">ROUND(PRICE*(1-B6)-0.6-INFRA,3)</f>
        <v>0.17</v>
      </c>
      <c r="G6" s="0" t="n">
        <f aca="false">ROUND(PRICE*(1-B6)-0.8-INFRA,3)</f>
        <v>-0.03</v>
      </c>
      <c r="H6" s="0" t="n">
        <f aca="false">ROUND(PRICE*(1-B6)-TEL-INFRA,3)</f>
        <v>0.34</v>
      </c>
    </row>
    <row r="7" customFormat="false" ht="15" hidden="false" customHeight="false" outlineLevel="0" collapsed="false">
      <c r="A7" s="0" t="s">
        <v>193</v>
      </c>
      <c r="B7" s="0" t="n">
        <v>0.4</v>
      </c>
      <c r="C7" s="0" t="n">
        <f aca="false">ROUND(PRICE/(1+GST_RATE)*(1-B7)-0.38-INFRA,3)</f>
        <v>0.607</v>
      </c>
      <c r="D7" s="0" t="n">
        <f aca="false">ROUND(PRICE/(1+GST_RATE)*(1-B7)-0.43-INFRA,3)</f>
        <v>0.557</v>
      </c>
      <c r="E7" s="0" t="n">
        <f aca="false">ROUND(PRICE/(1+GST_RATE)*(1-B7)-0.48-INFRA,3)</f>
        <v>0.507</v>
      </c>
      <c r="F7" s="0" t="n">
        <f aca="false">ROUND(PRICE/(1+GST_RATE)*(1-B7)-0.6-INFRA,3)</f>
        <v>0.387</v>
      </c>
      <c r="G7" s="0" t="n">
        <f aca="false">ROUND(PRICE/(1+GST_RATE)*(1-B7)-0.8-INFRA,3)</f>
        <v>0.187</v>
      </c>
      <c r="H7" s="0" t="n">
        <f aca="false">ROUND(PRICE/(1+GST_RATE)*(1-B7)-TEL-INFRA,3)</f>
        <v>0.557</v>
      </c>
    </row>
    <row r="8" customFormat="false" ht="15" hidden="false" customHeight="false" outlineLevel="0" collapsed="false">
      <c r="A8" s="0" t="s">
        <v>193</v>
      </c>
      <c r="B8" s="0" t="n">
        <v>0.5</v>
      </c>
      <c r="C8" s="0" t="n">
        <f aca="false">ROUND(PRICE/(1+GST_RATE)*(1-B8)-0.38-INFRA,3)</f>
        <v>0.437</v>
      </c>
      <c r="D8" s="0" t="n">
        <f aca="false">ROUND(PRICE/(1+GST_RATE)*(1-B8)-0.43-INFRA,3)</f>
        <v>0.387</v>
      </c>
      <c r="E8" s="0" t="n">
        <f aca="false">ROUND(PRICE/(1+GST_RATE)*(1-B8)-0.48-INFRA,3)</f>
        <v>0.337</v>
      </c>
      <c r="F8" s="0" t="n">
        <f aca="false">ROUND(PRICE/(1+GST_RATE)*(1-B8)-0.6-INFRA,3)</f>
        <v>0.217</v>
      </c>
      <c r="G8" s="0" t="n">
        <f aca="false">ROUND(PRICE/(1+GST_RATE)*(1-B8)-0.8-INFRA,3)</f>
        <v>0.017</v>
      </c>
      <c r="H8" s="0" t="n">
        <f aca="false">ROUND(PRICE/(1+GST_RATE)*(1-B8)-TEL-INFRA,3)</f>
        <v>0.387</v>
      </c>
    </row>
    <row r="9" customFormat="false" ht="15" hidden="false" customHeight="false" outlineLevel="0" collapsed="false">
      <c r="A9" s="0" t="s">
        <v>193</v>
      </c>
      <c r="B9" s="0" t="n">
        <v>0.6</v>
      </c>
      <c r="C9" s="0" t="n">
        <f aca="false">ROUND(PRICE/(1+GST_RATE)*(1-B9)-0.38-INFRA,3)</f>
        <v>0.268</v>
      </c>
      <c r="D9" s="0" t="n">
        <f aca="false">ROUND(PRICE/(1+GST_RATE)*(1-B9)-0.43-INFRA,3)</f>
        <v>0.218</v>
      </c>
      <c r="E9" s="0" t="n">
        <f aca="false">ROUND(PRICE/(1+GST_RATE)*(1-B9)-0.48-INFRA,3)</f>
        <v>0.168</v>
      </c>
      <c r="F9" s="0" t="n">
        <f aca="false">ROUND(PRICE/(1+GST_RATE)*(1-B9)-0.6-INFRA,3)</f>
        <v>0.048</v>
      </c>
      <c r="G9" s="0" t="n">
        <f aca="false">ROUND(PRICE/(1+GST_RATE)*(1-B9)-0.8-INFRA,3)</f>
        <v>-0.152</v>
      </c>
      <c r="H9" s="0" t="n">
        <f aca="false">ROUND(PRICE/(1+GST_RATE)*(1-B9)-TEL-INFRA,3)</f>
        <v>0.218</v>
      </c>
    </row>
    <row r="11" customFormat="false" ht="15" hidden="false" customHeight="false" outlineLevel="0" collapsed="false">
      <c r="A11" s="1" t="s">
        <v>194</v>
      </c>
      <c r="C11" s="3" t="s">
        <v>195</v>
      </c>
      <c r="D11" s="3" t="s">
        <v>196</v>
      </c>
      <c r="E11" s="3" t="s">
        <v>197</v>
      </c>
    </row>
    <row r="12" customFormat="false" ht="15" hidden="false" customHeight="false" outlineLevel="0" collapsed="false">
      <c r="A12" s="0" t="s">
        <v>198</v>
      </c>
      <c r="B12" s="2" t="n">
        <v>0.94</v>
      </c>
      <c r="C12" s="3" t="n">
        <f aca="false">ROUND((B12+TEL+INFRA)/(1-0.4),3)</f>
        <v>2.333</v>
      </c>
      <c r="D12" s="3" t="n">
        <f aca="false">ROUND((B12+TEL+INFRA)/(1-0.5),3)</f>
        <v>2.8</v>
      </c>
      <c r="E12" s="3" t="n">
        <f aca="false">ROUND((B12+TEL+INFRA)/(1-0.6),3)</f>
        <v>3.5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50"/>
  </cols>
  <sheetData>
    <row r="1" customFormat="false" ht="15" hidden="false" customHeight="false" outlineLevel="0" collapsed="false">
      <c r="A1" s="1" t="s">
        <v>199</v>
      </c>
      <c r="B1" s="1" t="s">
        <v>162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211</v>
      </c>
      <c r="O1" s="1" t="s">
        <v>212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217</v>
      </c>
      <c r="U1" s="1" t="s">
        <v>218</v>
      </c>
      <c r="V1" s="1" t="s">
        <v>219</v>
      </c>
      <c r="W1" s="1" t="s">
        <v>220</v>
      </c>
      <c r="X1" s="1" t="s">
        <v>221</v>
      </c>
      <c r="Y1" s="1" t="s">
        <v>222</v>
      </c>
      <c r="Z1" s="1" t="s">
        <v>223</v>
      </c>
      <c r="AA1" s="1" t="s">
        <v>224</v>
      </c>
      <c r="AB1" s="1" t="s">
        <v>225</v>
      </c>
      <c r="AC1" s="1" t="s">
        <v>226</v>
      </c>
      <c r="AD1" s="1" t="s">
        <v>227</v>
      </c>
      <c r="AE1" s="1" t="s">
        <v>228</v>
      </c>
      <c r="AF1" s="1" t="s">
        <v>229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236</v>
      </c>
    </row>
    <row r="2" customFormat="false" ht="15" hidden="false" customHeight="false" outlineLevel="0" collapsed="false">
      <c r="A2" s="0" t="s">
        <v>237</v>
      </c>
      <c r="B2" s="0" t="s">
        <v>238</v>
      </c>
      <c r="C2" s="0" t="n">
        <v>1</v>
      </c>
      <c r="D2" s="0" t="s">
        <v>239</v>
      </c>
      <c r="E2" s="0" t="n">
        <v>0.000277777777777778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0.44</v>
      </c>
      <c r="K2" s="0" t="n">
        <v>0.11</v>
      </c>
      <c r="L2" s="0" t="n">
        <v>1.76</v>
      </c>
      <c r="M2" s="0" t="n">
        <v>0.94</v>
      </c>
      <c r="N2" s="0" t="n">
        <v>1727</v>
      </c>
      <c r="O2" s="0" t="n">
        <v>51.3</v>
      </c>
      <c r="P2" s="0" t="n">
        <v>1.842</v>
      </c>
      <c r="Q2" s="0" t="n">
        <v>28.6</v>
      </c>
      <c r="R2" s="0" t="n">
        <v>1</v>
      </c>
      <c r="S2" s="0" t="n">
        <v>0</v>
      </c>
      <c r="T2" s="0" t="n">
        <v>0.00015045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f aca="false">IF(D2="full",60,IF(D2="gated",CALLER_S*GR,0))*(E2*FX+F2)+EXCH*G2*H2*FX+I2</f>
        <v>1.58333333333333</v>
      </c>
      <c r="AB2" s="0" t="n">
        <f aca="false">EXCH*R2*((N2+S2+O2*(MAX(EXCH*C2,1)-1)/2)*P2*((1-M2)*J2+M2*K2)+Q2*L2)/1000000*FX</f>
        <v>0.231694545896</v>
      </c>
      <c r="AC2" s="0" t="n">
        <f aca="false">(AGENT_S+V2*EXCH)*(T2*FX+U2)+EXCH*W2*X2*FX+Y2</f>
        <v>0.343026</v>
      </c>
      <c r="AD2" s="0" t="n">
        <f aca="false">IF(Z2=1,((214*C2+S2+1000)*0.44+400*1.76)/1000000*FX/C2,0)</f>
        <v>0</v>
      </c>
      <c r="AE2" s="0" t="n">
        <f aca="false">AA2+AB2+AC2+AD2</f>
        <v>2.15805387922933</v>
      </c>
      <c r="AF2" s="0" t="n">
        <f aca="false">TEL*(C2+0.25)/C2</f>
        <v>0.5375</v>
      </c>
      <c r="AG2" s="0" t="n">
        <f aca="false">AE2+AF2+INFRA</f>
        <v>2.72555387922933</v>
      </c>
      <c r="AH2" s="0" t="n">
        <f aca="false">AG2/0.6</f>
        <v>4.54258979871556</v>
      </c>
      <c r="AI2" s="0" t="n">
        <f aca="false">AG2/0.5</f>
        <v>5.45110775845867</v>
      </c>
      <c r="AJ2" s="0" t="n">
        <f aca="false">AG2/0.4</f>
        <v>6.81388469807333</v>
      </c>
      <c r="AK2" s="0" t="n">
        <f aca="false">1-AG2/IF(GST_INCL=1,PRICE/(1+GST_RATE),PRICE)</f>
        <v>-0.362776939614667</v>
      </c>
      <c r="AL2" s="0" t="n">
        <v>2.158054</v>
      </c>
      <c r="AM2" s="0" t="n">
        <f aca="false">AE2-AL2</f>
        <v>-1.20770666800496E-007</v>
      </c>
    </row>
    <row r="3" customFormat="false" ht="15" hidden="false" customHeight="false" outlineLevel="0" collapsed="false">
      <c r="A3" s="0" t="s">
        <v>237</v>
      </c>
      <c r="B3" s="0" t="s">
        <v>238</v>
      </c>
      <c r="C3" s="0" t="n">
        <v>3</v>
      </c>
      <c r="D3" s="0" t="s">
        <v>239</v>
      </c>
      <c r="E3" s="0" t="n">
        <v>0.000277777777777778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0.44</v>
      </c>
      <c r="K3" s="0" t="n">
        <v>0.11</v>
      </c>
      <c r="L3" s="0" t="n">
        <v>1.76</v>
      </c>
      <c r="M3" s="0" t="n">
        <v>0.94</v>
      </c>
      <c r="N3" s="0" t="n">
        <v>1727</v>
      </c>
      <c r="O3" s="0" t="n">
        <v>51.3</v>
      </c>
      <c r="P3" s="0" t="n">
        <v>1.842</v>
      </c>
      <c r="Q3" s="0" t="n">
        <v>28.6</v>
      </c>
      <c r="R3" s="0" t="n">
        <v>1</v>
      </c>
      <c r="S3" s="0" t="n">
        <v>0</v>
      </c>
      <c r="T3" s="0" t="n">
        <v>0.00015045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f aca="false">IF(D3="full",60,IF(D3="gated",CALLER_S*GR,0))*(E3*FX+F3)+EXCH*G3*H3*FX+I3</f>
        <v>1.58333333333333</v>
      </c>
      <c r="AB3" s="0" t="n">
        <f aca="false">EXCH*R3*((N3+S3+O3*(MAX(EXCH*C3,1)-1)/2)*P3*((1-M3)*J3+M3*K3)+Q3*L3)/1000000*FX</f>
        <v>0.260824868711</v>
      </c>
      <c r="AC3" s="0" t="n">
        <f aca="false">(AGENT_S+V3*EXCH)*(T3*FX+U3)+EXCH*W3*X3*FX+Y3</f>
        <v>0.343026</v>
      </c>
      <c r="AD3" s="0" t="n">
        <f aca="false">IF(Z3=1,((214*C3+S3+1000)*0.44+400*1.76)/1000000*FX/C3,0)</f>
        <v>0</v>
      </c>
      <c r="AE3" s="0" t="n">
        <f aca="false">AA3+AB3+AC3+AD3</f>
        <v>2.18718420204433</v>
      </c>
      <c r="AF3" s="0" t="n">
        <f aca="false">TEL*(C3+0.25)/C3</f>
        <v>0.465833333333333</v>
      </c>
      <c r="AG3" s="0" t="n">
        <f aca="false">AE3+AF3+INFRA</f>
        <v>2.68301753537767</v>
      </c>
      <c r="AH3" s="0" t="n">
        <f aca="false">AG3/0.6</f>
        <v>4.47169589229611</v>
      </c>
      <c r="AI3" s="0" t="n">
        <f aca="false">AG3/0.5</f>
        <v>5.36603507075533</v>
      </c>
      <c r="AJ3" s="0" t="n">
        <f aca="false">AG3/0.4</f>
        <v>6.70754383844417</v>
      </c>
      <c r="AK3" s="0" t="n">
        <f aca="false">1-AG3/IF(GST_INCL=1,PRICE/(1+GST_RATE),PRICE)</f>
        <v>-0.341508767688833</v>
      </c>
      <c r="AL3" s="0" t="n">
        <v>2.187184</v>
      </c>
      <c r="AM3" s="0" t="n">
        <f aca="false">AE3-AL3</f>
        <v>2.02044333263984E-007</v>
      </c>
    </row>
    <row r="4" customFormat="false" ht="15" hidden="false" customHeight="false" outlineLevel="0" collapsed="false">
      <c r="A4" s="0" t="s">
        <v>237</v>
      </c>
      <c r="B4" s="0" t="s">
        <v>238</v>
      </c>
      <c r="C4" s="0" t="n">
        <v>5</v>
      </c>
      <c r="D4" s="0" t="s">
        <v>239</v>
      </c>
      <c r="E4" s="0" t="n">
        <v>0.000277777777777778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0.44</v>
      </c>
      <c r="K4" s="0" t="n">
        <v>0.11</v>
      </c>
      <c r="L4" s="0" t="n">
        <v>1.76</v>
      </c>
      <c r="M4" s="0" t="n">
        <v>0.94</v>
      </c>
      <c r="N4" s="0" t="n">
        <v>1727</v>
      </c>
      <c r="O4" s="0" t="n">
        <v>51.3</v>
      </c>
      <c r="P4" s="0" t="n">
        <v>1.842</v>
      </c>
      <c r="Q4" s="0" t="n">
        <v>28.6</v>
      </c>
      <c r="R4" s="0" t="n">
        <v>1</v>
      </c>
      <c r="S4" s="0" t="n">
        <v>0</v>
      </c>
      <c r="T4" s="0" t="n">
        <v>0.00015045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f aca="false">IF(D4="full",60,IF(D4="gated",CALLER_S*GR,0))*(E4*FX+F4)+EXCH*G4*H4*FX+I4</f>
        <v>1.58333333333333</v>
      </c>
      <c r="AB4" s="0" t="n">
        <f aca="false">EXCH*R4*((N4+S4+O4*(MAX(EXCH*C4,1)-1)/2)*P4*((1-M4)*J4+M4*K4)+Q4*L4)/1000000*FX</f>
        <v>0.289955191526</v>
      </c>
      <c r="AC4" s="0" t="n">
        <f aca="false">(AGENT_S+V4*EXCH)*(T4*FX+U4)+EXCH*W4*X4*FX+Y4</f>
        <v>0.343026</v>
      </c>
      <c r="AD4" s="0" t="n">
        <f aca="false">IF(Z4=1,((214*C4+S4+1000)*0.44+400*1.76)/1000000*FX/C4,0)</f>
        <v>0</v>
      </c>
      <c r="AE4" s="0" t="n">
        <f aca="false">AA4+AB4+AC4+AD4</f>
        <v>2.21631452485933</v>
      </c>
      <c r="AF4" s="0" t="n">
        <f aca="false">TEL*(C4+0.25)/C4</f>
        <v>0.4515</v>
      </c>
      <c r="AG4" s="0" t="n">
        <f aca="false">AE4+AF4+INFRA</f>
        <v>2.69781452485933</v>
      </c>
      <c r="AH4" s="0" t="n">
        <f aca="false">AG4/0.6</f>
        <v>4.49635754143222</v>
      </c>
      <c r="AI4" s="0" t="n">
        <f aca="false">AG4/0.5</f>
        <v>5.39562904971867</v>
      </c>
      <c r="AJ4" s="0" t="n">
        <f aca="false">AG4/0.4</f>
        <v>6.74453631214833</v>
      </c>
      <c r="AK4" s="0" t="n">
        <f aca="false">1-AG4/IF(GST_INCL=1,PRICE/(1+GST_RATE),PRICE)</f>
        <v>-0.348907262429667</v>
      </c>
      <c r="AL4" s="0" t="n">
        <v>2.216315</v>
      </c>
      <c r="AM4" s="0" t="n">
        <f aca="false">AE4-AL4</f>
        <v>-4.75140666367224E-007</v>
      </c>
    </row>
    <row r="5" customFormat="false" ht="15" hidden="false" customHeight="false" outlineLevel="0" collapsed="false">
      <c r="A5" s="0" t="s">
        <v>237</v>
      </c>
      <c r="B5" s="0" t="s">
        <v>238</v>
      </c>
      <c r="C5" s="0" t="n">
        <v>10</v>
      </c>
      <c r="D5" s="0" t="s">
        <v>239</v>
      </c>
      <c r="E5" s="0" t="n">
        <v>0.000277777777777778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0.44</v>
      </c>
      <c r="K5" s="0" t="n">
        <v>0.11</v>
      </c>
      <c r="L5" s="0" t="n">
        <v>1.76</v>
      </c>
      <c r="M5" s="0" t="n">
        <v>0.94</v>
      </c>
      <c r="N5" s="0" t="n">
        <v>1727</v>
      </c>
      <c r="O5" s="0" t="n">
        <v>51.3</v>
      </c>
      <c r="P5" s="0" t="n">
        <v>1.842</v>
      </c>
      <c r="Q5" s="0" t="n">
        <v>28.6</v>
      </c>
      <c r="R5" s="0" t="n">
        <v>1</v>
      </c>
      <c r="S5" s="0" t="n">
        <v>0</v>
      </c>
      <c r="T5" s="0" t="n">
        <v>0.00015045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f aca="false">IF(D5="full",60,IF(D5="gated",CALLER_S*GR,0))*(E5*FX+F5)+EXCH*G5*H5*FX+I5</f>
        <v>1.58333333333333</v>
      </c>
      <c r="AB5" s="0" t="n">
        <f aca="false">EXCH*R5*((N5+S5+O5*(MAX(EXCH*C5,1)-1)/2)*P5*((1-M5)*J5+M5*K5)+Q5*L5)/1000000*FX</f>
        <v>0.3627809985635</v>
      </c>
      <c r="AC5" s="0" t="n">
        <f aca="false">(AGENT_S+V5*EXCH)*(T5*FX+U5)+EXCH*W5*X5*FX+Y5</f>
        <v>0.343026</v>
      </c>
      <c r="AD5" s="0" t="n">
        <f aca="false">IF(Z5=1,((214*C5+S5+1000)*0.44+400*1.76)/1000000*FX/C5,0)</f>
        <v>0</v>
      </c>
      <c r="AE5" s="0" t="n">
        <f aca="false">AA5+AB5+AC5+AD5</f>
        <v>2.28914033189683</v>
      </c>
      <c r="AF5" s="0" t="n">
        <f aca="false">TEL*(C5+0.25)/C5</f>
        <v>0.44075</v>
      </c>
      <c r="AG5" s="0" t="n">
        <f aca="false">AE5+AF5+INFRA</f>
        <v>2.75989033189683</v>
      </c>
      <c r="AH5" s="0" t="n">
        <f aca="false">AG5/0.6</f>
        <v>4.59981721982806</v>
      </c>
      <c r="AI5" s="0" t="n">
        <f aca="false">AG5/0.5</f>
        <v>5.51978066379367</v>
      </c>
      <c r="AJ5" s="0" t="n">
        <f aca="false">AG5/0.4</f>
        <v>6.89972582974208</v>
      </c>
      <c r="AK5" s="0" t="n">
        <f aca="false">1-AG5/IF(GST_INCL=1,PRICE/(1+GST_RATE),PRICE)</f>
        <v>-0.379945165948417</v>
      </c>
      <c r="AL5" s="0" t="n">
        <v>2.28914</v>
      </c>
      <c r="AM5" s="0" t="n">
        <f aca="false">AE5-AL5</f>
        <v>3.31896833127843E-007</v>
      </c>
    </row>
    <row r="6" customFormat="false" ht="15" hidden="false" customHeight="false" outlineLevel="0" collapsed="false">
      <c r="A6" s="0" t="s">
        <v>240</v>
      </c>
      <c r="B6" s="0" t="s">
        <v>241</v>
      </c>
      <c r="C6" s="0" t="n">
        <v>1</v>
      </c>
      <c r="D6" s="0" t="s">
        <v>242</v>
      </c>
      <c r="E6" s="0" t="n">
        <v>0.000277777777777778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0.44</v>
      </c>
      <c r="K6" s="0" t="n">
        <v>0.11</v>
      </c>
      <c r="L6" s="0" t="n">
        <v>1.76</v>
      </c>
      <c r="M6" s="0" t="n">
        <v>0.94</v>
      </c>
      <c r="N6" s="0" t="n">
        <v>1727</v>
      </c>
      <c r="O6" s="0" t="n">
        <v>51.3</v>
      </c>
      <c r="P6" s="0" t="n">
        <v>1.842</v>
      </c>
      <c r="Q6" s="0" t="n">
        <v>28.6</v>
      </c>
      <c r="R6" s="0" t="n">
        <v>1</v>
      </c>
      <c r="S6" s="0" t="n">
        <v>0</v>
      </c>
      <c r="T6" s="0" t="n">
        <v>0.00015045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f aca="false">IF(D6="full",60,IF(D6="gated",CALLER_S*GR,0))*(E6*FX+F6)+EXCH*G6*H6*FX+I6</f>
        <v>0.751133333333333</v>
      </c>
      <c r="AB6" s="0" t="n">
        <f aca="false">EXCH*R6*((N6+S6+O6*(MAX(EXCH*C6,1)-1)/2)*P6*((1-M6)*J6+M6*K6)+Q6*L6)/1000000*FX</f>
        <v>0.231694545896</v>
      </c>
      <c r="AC6" s="0" t="n">
        <f aca="false">(AGENT_S+V6*EXCH)*(T6*FX+U6)+EXCH*W6*X6*FX+Y6</f>
        <v>0.343026</v>
      </c>
      <c r="AD6" s="0" t="n">
        <f aca="false">IF(Z6=1,((214*C6+S6+1000)*0.44+400*1.76)/1000000*FX/C6,0)</f>
        <v>0</v>
      </c>
      <c r="AE6" s="0" t="n">
        <f aca="false">AA6+AB6+AC6+AD6</f>
        <v>1.32585387922933</v>
      </c>
      <c r="AF6" s="0" t="n">
        <f aca="false">TEL*(C6+0.25)/C6</f>
        <v>0.5375</v>
      </c>
      <c r="AG6" s="0" t="n">
        <f aca="false">AE6+AF6+INFRA</f>
        <v>1.89335387922933</v>
      </c>
      <c r="AH6" s="0" t="n">
        <f aca="false">AG6/0.6</f>
        <v>3.15558979871556</v>
      </c>
      <c r="AI6" s="0" t="n">
        <f aca="false">AG6/0.5</f>
        <v>3.78670775845867</v>
      </c>
      <c r="AJ6" s="0" t="n">
        <f aca="false">AG6/0.4</f>
        <v>4.73338469807333</v>
      </c>
      <c r="AK6" s="0" t="n">
        <f aca="false">1-AG6/IF(GST_INCL=1,PRICE/(1+GST_RATE),PRICE)</f>
        <v>0.0533230603853333</v>
      </c>
      <c r="AL6" s="0" t="n">
        <v>1.325854</v>
      </c>
      <c r="AM6" s="0" t="n">
        <f aca="false">AE6-AL6</f>
        <v>-1.20770666800496E-007</v>
      </c>
    </row>
    <row r="7" customFormat="false" ht="15" hidden="false" customHeight="false" outlineLevel="0" collapsed="false">
      <c r="A7" s="0" t="s">
        <v>240</v>
      </c>
      <c r="B7" s="0" t="s">
        <v>241</v>
      </c>
      <c r="C7" s="0" t="n">
        <v>3</v>
      </c>
      <c r="D7" s="0" t="s">
        <v>242</v>
      </c>
      <c r="E7" s="0" t="n">
        <v>0.000277777777777778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0.44</v>
      </c>
      <c r="K7" s="0" t="n">
        <v>0.11</v>
      </c>
      <c r="L7" s="0" t="n">
        <v>1.76</v>
      </c>
      <c r="M7" s="0" t="n">
        <v>0.94</v>
      </c>
      <c r="N7" s="0" t="n">
        <v>1727</v>
      </c>
      <c r="O7" s="0" t="n">
        <v>51.3</v>
      </c>
      <c r="P7" s="0" t="n">
        <v>1.842</v>
      </c>
      <c r="Q7" s="0" t="n">
        <v>28.6</v>
      </c>
      <c r="R7" s="0" t="n">
        <v>1</v>
      </c>
      <c r="S7" s="0" t="n">
        <v>0</v>
      </c>
      <c r="T7" s="0" t="n">
        <v>0.00015045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f aca="false">IF(D7="full",60,IF(D7="gated",CALLER_S*GR,0))*(E7*FX+F7)+EXCH*G7*H7*FX+I7</f>
        <v>0.751133333333333</v>
      </c>
      <c r="AB7" s="0" t="n">
        <f aca="false">EXCH*R7*((N7+S7+O7*(MAX(EXCH*C7,1)-1)/2)*P7*((1-M7)*J7+M7*K7)+Q7*L7)/1000000*FX</f>
        <v>0.260824868711</v>
      </c>
      <c r="AC7" s="0" t="n">
        <f aca="false">(AGENT_S+V7*EXCH)*(T7*FX+U7)+EXCH*W7*X7*FX+Y7</f>
        <v>0.343026</v>
      </c>
      <c r="AD7" s="0" t="n">
        <f aca="false">IF(Z7=1,((214*C7+S7+1000)*0.44+400*1.76)/1000000*FX/C7,0)</f>
        <v>0</v>
      </c>
      <c r="AE7" s="0" t="n">
        <f aca="false">AA7+AB7+AC7+AD7</f>
        <v>1.35498420204433</v>
      </c>
      <c r="AF7" s="0" t="n">
        <f aca="false">TEL*(C7+0.25)/C7</f>
        <v>0.465833333333333</v>
      </c>
      <c r="AG7" s="0" t="n">
        <f aca="false">AE7+AF7+INFRA</f>
        <v>1.85081753537767</v>
      </c>
      <c r="AH7" s="0" t="n">
        <f aca="false">AG7/0.6</f>
        <v>3.08469589229611</v>
      </c>
      <c r="AI7" s="0" t="n">
        <f aca="false">AG7/0.5</f>
        <v>3.70163507075533</v>
      </c>
      <c r="AJ7" s="0" t="n">
        <f aca="false">AG7/0.4</f>
        <v>4.62704383844417</v>
      </c>
      <c r="AK7" s="0" t="n">
        <f aca="false">1-AG7/IF(GST_INCL=1,PRICE/(1+GST_RATE),PRICE)</f>
        <v>0.0745912323111666</v>
      </c>
      <c r="AL7" s="0" t="n">
        <v>1.354984</v>
      </c>
      <c r="AM7" s="0" t="n">
        <f aca="false">AE7-AL7</f>
        <v>2.02044333486029E-007</v>
      </c>
    </row>
    <row r="8" customFormat="false" ht="15" hidden="false" customHeight="false" outlineLevel="0" collapsed="false">
      <c r="A8" s="0" t="s">
        <v>240</v>
      </c>
      <c r="B8" s="0" t="s">
        <v>241</v>
      </c>
      <c r="C8" s="0" t="n">
        <v>5</v>
      </c>
      <c r="D8" s="0" t="s">
        <v>242</v>
      </c>
      <c r="E8" s="0" t="n">
        <v>0.000277777777777778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0.44</v>
      </c>
      <c r="K8" s="0" t="n">
        <v>0.11</v>
      </c>
      <c r="L8" s="0" t="n">
        <v>1.76</v>
      </c>
      <c r="M8" s="0" t="n">
        <v>0.94</v>
      </c>
      <c r="N8" s="0" t="n">
        <v>1727</v>
      </c>
      <c r="O8" s="0" t="n">
        <v>51.3</v>
      </c>
      <c r="P8" s="0" t="n">
        <v>1.842</v>
      </c>
      <c r="Q8" s="0" t="n">
        <v>28.6</v>
      </c>
      <c r="R8" s="0" t="n">
        <v>1</v>
      </c>
      <c r="S8" s="0" t="n">
        <v>0</v>
      </c>
      <c r="T8" s="0" t="n">
        <v>0.00015045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f aca="false">IF(D8="full",60,IF(D8="gated",CALLER_S*GR,0))*(E8*FX+F8)+EXCH*G8*H8*FX+I8</f>
        <v>0.751133333333333</v>
      </c>
      <c r="AB8" s="0" t="n">
        <f aca="false">EXCH*R8*((N8+S8+O8*(MAX(EXCH*C8,1)-1)/2)*P8*((1-M8)*J8+M8*K8)+Q8*L8)/1000000*FX</f>
        <v>0.289955191526</v>
      </c>
      <c r="AC8" s="0" t="n">
        <f aca="false">(AGENT_S+V8*EXCH)*(T8*FX+U8)+EXCH*W8*X8*FX+Y8</f>
        <v>0.343026</v>
      </c>
      <c r="AD8" s="0" t="n">
        <f aca="false">IF(Z8=1,((214*C8+S8+1000)*0.44+400*1.76)/1000000*FX/C8,0)</f>
        <v>0</v>
      </c>
      <c r="AE8" s="0" t="n">
        <f aca="false">AA8+AB8+AC8+AD8</f>
        <v>1.38411452485933</v>
      </c>
      <c r="AF8" s="0" t="n">
        <f aca="false">TEL*(C8+0.25)/C8</f>
        <v>0.4515</v>
      </c>
      <c r="AG8" s="0" t="n">
        <f aca="false">AE8+AF8+INFRA</f>
        <v>1.86561452485933</v>
      </c>
      <c r="AH8" s="0" t="n">
        <f aca="false">AG8/0.6</f>
        <v>3.10935754143222</v>
      </c>
      <c r="AI8" s="0" t="n">
        <f aca="false">AG8/0.5</f>
        <v>3.73122904971867</v>
      </c>
      <c r="AJ8" s="0" t="n">
        <f aca="false">AG8/0.4</f>
        <v>4.66403631214833</v>
      </c>
      <c r="AK8" s="0" t="n">
        <f aca="false">1-AG8/IF(GST_INCL=1,PRICE/(1+GST_RATE),PRICE)</f>
        <v>0.0671927375703333</v>
      </c>
      <c r="AL8" s="0" t="n">
        <v>1.384115</v>
      </c>
      <c r="AM8" s="0" t="n">
        <f aca="false">AE8-AL8</f>
        <v>-4.75140666589269E-007</v>
      </c>
    </row>
    <row r="9" customFormat="false" ht="15" hidden="false" customHeight="false" outlineLevel="0" collapsed="false">
      <c r="A9" s="0" t="s">
        <v>240</v>
      </c>
      <c r="B9" s="0" t="s">
        <v>241</v>
      </c>
      <c r="C9" s="0" t="n">
        <v>10</v>
      </c>
      <c r="D9" s="0" t="s">
        <v>242</v>
      </c>
      <c r="E9" s="0" t="n">
        <v>0.000277777777777778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0.44</v>
      </c>
      <c r="K9" s="0" t="n">
        <v>0.11</v>
      </c>
      <c r="L9" s="0" t="n">
        <v>1.76</v>
      </c>
      <c r="M9" s="0" t="n">
        <v>0.94</v>
      </c>
      <c r="N9" s="0" t="n">
        <v>1727</v>
      </c>
      <c r="O9" s="0" t="n">
        <v>51.3</v>
      </c>
      <c r="P9" s="0" t="n">
        <v>1.842</v>
      </c>
      <c r="Q9" s="0" t="n">
        <v>28.6</v>
      </c>
      <c r="R9" s="0" t="n">
        <v>1</v>
      </c>
      <c r="S9" s="0" t="n">
        <v>0</v>
      </c>
      <c r="T9" s="0" t="n">
        <v>0.00015045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f aca="false">IF(D9="full",60,IF(D9="gated",CALLER_S*GR,0))*(E9*FX+F9)+EXCH*G9*H9*FX+I9</f>
        <v>0.751133333333333</v>
      </c>
      <c r="AB9" s="0" t="n">
        <f aca="false">EXCH*R9*((N9+S9+O9*(MAX(EXCH*C9,1)-1)/2)*P9*((1-M9)*J9+M9*K9)+Q9*L9)/1000000*FX</f>
        <v>0.3627809985635</v>
      </c>
      <c r="AC9" s="0" t="n">
        <f aca="false">(AGENT_S+V9*EXCH)*(T9*FX+U9)+EXCH*W9*X9*FX+Y9</f>
        <v>0.343026</v>
      </c>
      <c r="AD9" s="0" t="n">
        <f aca="false">IF(Z9=1,((214*C9+S9+1000)*0.44+400*1.76)/1000000*FX/C9,0)</f>
        <v>0</v>
      </c>
      <c r="AE9" s="0" t="n">
        <f aca="false">AA9+AB9+AC9+AD9</f>
        <v>1.45694033189683</v>
      </c>
      <c r="AF9" s="0" t="n">
        <f aca="false">TEL*(C9+0.25)/C9</f>
        <v>0.44075</v>
      </c>
      <c r="AG9" s="0" t="n">
        <f aca="false">AE9+AF9+INFRA</f>
        <v>1.92769033189683</v>
      </c>
      <c r="AH9" s="0" t="n">
        <f aca="false">AG9/0.6</f>
        <v>3.21281721982806</v>
      </c>
      <c r="AI9" s="0" t="n">
        <f aca="false">AG9/0.5</f>
        <v>3.85538066379367</v>
      </c>
      <c r="AJ9" s="0" t="n">
        <f aca="false">AG9/0.4</f>
        <v>4.81922582974208</v>
      </c>
      <c r="AK9" s="0" t="n">
        <f aca="false">1-AG9/IF(GST_INCL=1,PRICE/(1+GST_RATE),PRICE)</f>
        <v>0.0361548340515833</v>
      </c>
      <c r="AL9" s="0" t="n">
        <v>1.45694</v>
      </c>
      <c r="AM9" s="0" t="n">
        <f aca="false">AE9-AL9</f>
        <v>3.31896833571932E-007</v>
      </c>
    </row>
    <row r="10" customFormat="false" ht="15" hidden="false" customHeight="false" outlineLevel="0" collapsed="false">
      <c r="A10" s="0" t="s">
        <v>243</v>
      </c>
      <c r="B10" s="0" t="s">
        <v>244</v>
      </c>
      <c r="C10" s="0" t="n">
        <v>1</v>
      </c>
      <c r="D10" s="0" t="s">
        <v>239</v>
      </c>
      <c r="E10" s="0" t="n">
        <v>0.000277777777777778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0.44</v>
      </c>
      <c r="K10" s="0" t="n">
        <v>0.11</v>
      </c>
      <c r="L10" s="0" t="n">
        <v>1.76</v>
      </c>
      <c r="M10" s="0" t="n">
        <v>0.948</v>
      </c>
      <c r="N10" s="0" t="n">
        <v>1725</v>
      </c>
      <c r="O10" s="0" t="n">
        <v>52.7</v>
      </c>
      <c r="P10" s="0" t="n">
        <v>1.841</v>
      </c>
      <c r="Q10" s="0" t="n">
        <v>30.4</v>
      </c>
      <c r="R10" s="0" t="n">
        <v>1</v>
      </c>
      <c r="S10" s="0" t="n">
        <v>0</v>
      </c>
      <c r="T10" s="0" t="n">
        <v>0.00037796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f aca="false">IF(D10="full",60,IF(D10="gated",CALLER_S*GR,0))*(E10*FX+F10)+EXCH*G10*H10*FX+I10</f>
        <v>1.58333333333333</v>
      </c>
      <c r="AB10" s="0" t="n">
        <f aca="false">EXCH*R10*((N10+S10+O10*(MAX(EXCH*C10,1)-1)/2)*P10*((1-M10)*J10+M10*K10)+Q10*L10)/1000000*FX</f>
        <v>0.2289516603264</v>
      </c>
      <c r="AC10" s="0" t="n">
        <f aca="false">(AGENT_S+V10*EXCH)*(T10*FX+U10)+EXCH*W10*X10*FX+Y10</f>
        <v>0.8617488</v>
      </c>
      <c r="AD10" s="0" t="n">
        <f aca="false">IF(Z10=1,((214*C10+S10+1000)*0.44+400*1.76)/1000000*FX/C10,0)</f>
        <v>0</v>
      </c>
      <c r="AE10" s="0" t="n">
        <f aca="false">AA10+AB10+AC10+AD10</f>
        <v>2.67403379365973</v>
      </c>
      <c r="AF10" s="0" t="n">
        <f aca="false">TEL*(C10+0.25)/C10</f>
        <v>0.5375</v>
      </c>
      <c r="AG10" s="0" t="n">
        <f aca="false">AE10+AF10+INFRA</f>
        <v>3.24153379365973</v>
      </c>
      <c r="AH10" s="0" t="n">
        <f aca="false">AG10/0.6</f>
        <v>5.40255632276622</v>
      </c>
      <c r="AI10" s="0" t="n">
        <f aca="false">AG10/0.5</f>
        <v>6.48306758731947</v>
      </c>
      <c r="AJ10" s="0" t="n">
        <f aca="false">AG10/0.4</f>
        <v>8.10383448414933</v>
      </c>
      <c r="AK10" s="0" t="n">
        <f aca="false">1-AG10/IF(GST_INCL=1,PRICE/(1+GST_RATE),PRICE)</f>
        <v>-0.620766896829867</v>
      </c>
      <c r="AL10" s="0" t="n">
        <v>2.674034</v>
      </c>
      <c r="AM10" s="0" t="n">
        <f aca="false">AE10-AL10</f>
        <v>-2.06340266650784E-007</v>
      </c>
    </row>
    <row r="11" customFormat="false" ht="15" hidden="false" customHeight="false" outlineLevel="0" collapsed="false">
      <c r="A11" s="0" t="s">
        <v>243</v>
      </c>
      <c r="B11" s="0" t="s">
        <v>244</v>
      </c>
      <c r="C11" s="0" t="n">
        <v>3</v>
      </c>
      <c r="D11" s="0" t="s">
        <v>239</v>
      </c>
      <c r="E11" s="0" t="n">
        <v>0.000277777777777778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0.44</v>
      </c>
      <c r="K11" s="0" t="n">
        <v>0.11</v>
      </c>
      <c r="L11" s="0" t="n">
        <v>1.76</v>
      </c>
      <c r="M11" s="0" t="n">
        <v>0.948</v>
      </c>
      <c r="N11" s="0" t="n">
        <v>1725</v>
      </c>
      <c r="O11" s="0" t="n">
        <v>52.7</v>
      </c>
      <c r="P11" s="0" t="n">
        <v>1.841</v>
      </c>
      <c r="Q11" s="0" t="n">
        <v>30.4</v>
      </c>
      <c r="R11" s="0" t="n">
        <v>1</v>
      </c>
      <c r="S11" s="0" t="n">
        <v>0</v>
      </c>
      <c r="T11" s="0" t="n">
        <v>0.00037796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f aca="false">IF(D11="full",60,IF(D11="gated",CALLER_S*GR,0))*(E11*FX+F11)+EXCH*G11*H11*FX+I11</f>
        <v>1.58333333333333</v>
      </c>
      <c r="AB11" s="0" t="n">
        <f aca="false">EXCH*R11*((N11+S11+O11*(MAX(EXCH*C11,1)-1)/2)*P11*((1-M11)*J11+M11*K11)+Q11*L11)/1000000*FX</f>
        <v>0.2582523968299</v>
      </c>
      <c r="AC11" s="0" t="n">
        <f aca="false">(AGENT_S+V11*EXCH)*(T11*FX+U11)+EXCH*W11*X11*FX+Y11</f>
        <v>0.8617488</v>
      </c>
      <c r="AD11" s="0" t="n">
        <f aca="false">IF(Z11=1,((214*C11+S11+1000)*0.44+400*1.76)/1000000*FX/C11,0)</f>
        <v>0</v>
      </c>
      <c r="AE11" s="0" t="n">
        <f aca="false">AA11+AB11+AC11+AD11</f>
        <v>2.70333453016323</v>
      </c>
      <c r="AF11" s="0" t="n">
        <f aca="false">TEL*(C11+0.25)/C11</f>
        <v>0.465833333333333</v>
      </c>
      <c r="AG11" s="0" t="n">
        <f aca="false">AE11+AF11+INFRA</f>
        <v>3.19916786349657</v>
      </c>
      <c r="AH11" s="0" t="n">
        <f aca="false">AG11/0.6</f>
        <v>5.33194643916094</v>
      </c>
      <c r="AI11" s="0" t="n">
        <f aca="false">AG11/0.5</f>
        <v>6.39833572699313</v>
      </c>
      <c r="AJ11" s="0" t="n">
        <f aca="false">AG11/0.4</f>
        <v>7.99791965874142</v>
      </c>
      <c r="AK11" s="0" t="n">
        <f aca="false">1-AG11/IF(GST_INCL=1,PRICE/(1+GST_RATE),PRICE)</f>
        <v>-0.599583931748283</v>
      </c>
      <c r="AL11" s="0" t="n">
        <v>2.703335</v>
      </c>
      <c r="AM11" s="0" t="n">
        <f aca="false">AE11-AL11</f>
        <v>-4.69836766825438E-007</v>
      </c>
    </row>
    <row r="12" customFormat="false" ht="15" hidden="false" customHeight="false" outlineLevel="0" collapsed="false">
      <c r="A12" s="0" t="s">
        <v>243</v>
      </c>
      <c r="B12" s="0" t="s">
        <v>244</v>
      </c>
      <c r="C12" s="0" t="n">
        <v>5</v>
      </c>
      <c r="D12" s="0" t="s">
        <v>239</v>
      </c>
      <c r="E12" s="0" t="n">
        <v>0.000277777777777778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0.44</v>
      </c>
      <c r="K12" s="0" t="n">
        <v>0.11</v>
      </c>
      <c r="L12" s="0" t="n">
        <v>1.76</v>
      </c>
      <c r="M12" s="0" t="n">
        <v>0.948</v>
      </c>
      <c r="N12" s="0" t="n">
        <v>1725</v>
      </c>
      <c r="O12" s="0" t="n">
        <v>52.7</v>
      </c>
      <c r="P12" s="0" t="n">
        <v>1.841</v>
      </c>
      <c r="Q12" s="0" t="n">
        <v>30.4</v>
      </c>
      <c r="R12" s="0" t="n">
        <v>1</v>
      </c>
      <c r="S12" s="0" t="n">
        <v>0</v>
      </c>
      <c r="T12" s="0" t="n">
        <v>0.00037796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f aca="false">IF(D12="full",60,IF(D12="gated",CALLER_S*GR,0))*(E12*FX+F12)+EXCH*G12*H12*FX+I12</f>
        <v>1.58333333333333</v>
      </c>
      <c r="AB12" s="0" t="n">
        <f aca="false">EXCH*R12*((N12+S12+O12*(MAX(EXCH*C12,1)-1)/2)*P12*((1-M12)*J12+M12*K12)+Q12*L12)/1000000*FX</f>
        <v>0.2875531333334</v>
      </c>
      <c r="AC12" s="0" t="n">
        <f aca="false">(AGENT_S+V12*EXCH)*(T12*FX+U12)+EXCH*W12*X12*FX+Y12</f>
        <v>0.8617488</v>
      </c>
      <c r="AD12" s="0" t="n">
        <f aca="false">IF(Z12=1,((214*C12+S12+1000)*0.44+400*1.76)/1000000*FX/C12,0)</f>
        <v>0</v>
      </c>
      <c r="AE12" s="0" t="n">
        <f aca="false">AA12+AB12+AC12+AD12</f>
        <v>2.73263526666673</v>
      </c>
      <c r="AF12" s="0" t="n">
        <f aca="false">TEL*(C12+0.25)/C12</f>
        <v>0.4515</v>
      </c>
      <c r="AG12" s="0" t="n">
        <f aca="false">AE12+AF12+INFRA</f>
        <v>3.21413526666673</v>
      </c>
      <c r="AH12" s="0" t="n">
        <f aca="false">AG12/0.6</f>
        <v>5.35689211111122</v>
      </c>
      <c r="AI12" s="0" t="n">
        <f aca="false">AG12/0.5</f>
        <v>6.42827053333347</v>
      </c>
      <c r="AJ12" s="0" t="n">
        <f aca="false">AG12/0.4</f>
        <v>8.03533816666683</v>
      </c>
      <c r="AK12" s="0" t="n">
        <f aca="false">1-AG12/IF(GST_INCL=1,PRICE/(1+GST_RATE),PRICE)</f>
        <v>-0.607067633333366</v>
      </c>
      <c r="AL12" s="0" t="n">
        <v>2.732635</v>
      </c>
      <c r="AM12" s="0" t="n">
        <f aca="false">AE12-AL12</f>
        <v>2.66666733139687E-007</v>
      </c>
    </row>
    <row r="13" customFormat="false" ht="15" hidden="false" customHeight="false" outlineLevel="0" collapsed="false">
      <c r="A13" s="0" t="s">
        <v>243</v>
      </c>
      <c r="B13" s="0" t="s">
        <v>244</v>
      </c>
      <c r="C13" s="0" t="n">
        <v>10</v>
      </c>
      <c r="D13" s="0" t="s">
        <v>239</v>
      </c>
      <c r="E13" s="0" t="n">
        <v>0.000277777777777778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0.44</v>
      </c>
      <c r="K13" s="0" t="n">
        <v>0.11</v>
      </c>
      <c r="L13" s="0" t="n">
        <v>1.76</v>
      </c>
      <c r="M13" s="0" t="n">
        <v>0.948</v>
      </c>
      <c r="N13" s="0" t="n">
        <v>1725</v>
      </c>
      <c r="O13" s="0" t="n">
        <v>52.7</v>
      </c>
      <c r="P13" s="0" t="n">
        <v>1.841</v>
      </c>
      <c r="Q13" s="0" t="n">
        <v>30.4</v>
      </c>
      <c r="R13" s="0" t="n">
        <v>1</v>
      </c>
      <c r="S13" s="0" t="n">
        <v>0</v>
      </c>
      <c r="T13" s="0" t="n">
        <v>0.00037796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f aca="false">IF(D13="full",60,IF(D13="gated",CALLER_S*GR,0))*(E13*FX+F13)+EXCH*G13*H13*FX+I13</f>
        <v>1.58333333333333</v>
      </c>
      <c r="AB13" s="0" t="n">
        <f aca="false">EXCH*R13*((N13+S13+O13*(MAX(EXCH*C13,1)-1)/2)*P13*((1-M13)*J13+M13*K13)+Q13*L13)/1000000*FX</f>
        <v>0.36080497459215</v>
      </c>
      <c r="AC13" s="0" t="n">
        <f aca="false">(AGENT_S+V13*EXCH)*(T13*FX+U13)+EXCH*W13*X13*FX+Y13</f>
        <v>0.8617488</v>
      </c>
      <c r="AD13" s="0" t="n">
        <f aca="false">IF(Z13=1,((214*C13+S13+1000)*0.44+400*1.76)/1000000*FX/C13,0)</f>
        <v>0</v>
      </c>
      <c r="AE13" s="0" t="n">
        <f aca="false">AA13+AB13+AC13+AD13</f>
        <v>2.80588710792548</v>
      </c>
      <c r="AF13" s="0" t="n">
        <f aca="false">TEL*(C13+0.25)/C13</f>
        <v>0.44075</v>
      </c>
      <c r="AG13" s="0" t="n">
        <f aca="false">AE13+AF13+INFRA</f>
        <v>3.27663710792548</v>
      </c>
      <c r="AH13" s="0" t="n">
        <f aca="false">AG13/0.6</f>
        <v>5.46106184654247</v>
      </c>
      <c r="AI13" s="0" t="n">
        <f aca="false">AG13/0.5</f>
        <v>6.55327421585097</v>
      </c>
      <c r="AJ13" s="0" t="n">
        <f aca="false">AG13/0.4</f>
        <v>8.19159276981371</v>
      </c>
      <c r="AK13" s="0" t="n">
        <f aca="false">1-AG13/IF(GST_INCL=1,PRICE/(1+GST_RATE),PRICE)</f>
        <v>-0.638318553962741</v>
      </c>
      <c r="AL13" s="0" t="n">
        <v>2.805887</v>
      </c>
      <c r="AM13" s="0" t="n">
        <f aca="false">AE13-AL13</f>
        <v>1.07925483217031E-007</v>
      </c>
    </row>
    <row r="14" customFormat="false" ht="15" hidden="false" customHeight="false" outlineLevel="0" collapsed="false">
      <c r="A14" s="0" t="s">
        <v>245</v>
      </c>
      <c r="B14" s="0" t="s">
        <v>246</v>
      </c>
      <c r="C14" s="0" t="n">
        <v>1</v>
      </c>
      <c r="D14" s="0" t="s">
        <v>239</v>
      </c>
      <c r="E14" s="0" t="n">
        <v>0.000277777777777778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0.15</v>
      </c>
      <c r="K14" s="0" t="n">
        <v>0.075</v>
      </c>
      <c r="L14" s="0" t="n">
        <v>0.6</v>
      </c>
      <c r="M14" s="0" t="n">
        <v>0.82</v>
      </c>
      <c r="N14" s="0" t="n">
        <v>1771</v>
      </c>
      <c r="O14" s="0" t="n">
        <v>70</v>
      </c>
      <c r="P14" s="0" t="n">
        <v>1.823</v>
      </c>
      <c r="Q14" s="0" t="n">
        <v>85.2</v>
      </c>
      <c r="R14" s="0" t="n">
        <v>1.266</v>
      </c>
      <c r="S14" s="0" t="n">
        <v>0</v>
      </c>
      <c r="T14" s="0" t="n">
        <v>0.00037796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f aca="false">IF(D14="full",60,IF(D14="gated",CALLER_S*GR,0))*(E14*FX+F14)+EXCH*G14*H14*FX+I14</f>
        <v>1.58333333333333</v>
      </c>
      <c r="AB14" s="0" t="n">
        <f aca="false">EXCH*R14*((N14+S14+O14*(MAX(EXCH*C14,1)-1)/2)*P14*((1-M14)*J14+M14*K14)+Q14*L14)/1000000*FX</f>
        <v>0.216144517689675</v>
      </c>
      <c r="AC14" s="0" t="n">
        <f aca="false">(AGENT_S+V14*EXCH)*(T14*FX+U14)+EXCH*W14*X14*FX+Y14</f>
        <v>0.8617488</v>
      </c>
      <c r="AD14" s="0" t="n">
        <f aca="false">IF(Z14=1,((214*C14+S14+1000)*0.44+400*1.76)/1000000*FX/C14,0)</f>
        <v>0</v>
      </c>
      <c r="AE14" s="0" t="n">
        <f aca="false">AA14+AB14+AC14+AD14</f>
        <v>2.66122665102301</v>
      </c>
      <c r="AF14" s="0" t="n">
        <f aca="false">TEL*(C14+0.25)/C14</f>
        <v>0.5375</v>
      </c>
      <c r="AG14" s="0" t="n">
        <f aca="false">AE14+AF14+INFRA</f>
        <v>3.22872665102301</v>
      </c>
      <c r="AH14" s="0" t="n">
        <f aca="false">AG14/0.6</f>
        <v>5.38121108503835</v>
      </c>
      <c r="AI14" s="0" t="n">
        <f aca="false">AG14/0.5</f>
        <v>6.45745330204602</v>
      </c>
      <c r="AJ14" s="0" t="n">
        <f aca="false">AG14/0.4</f>
        <v>8.07181662755752</v>
      </c>
      <c r="AK14" s="0" t="n">
        <f aca="false">1-AG14/IF(GST_INCL=1,PRICE/(1+GST_RATE),PRICE)</f>
        <v>-0.614363325511504</v>
      </c>
      <c r="AL14" s="0" t="n">
        <v>2.661227</v>
      </c>
      <c r="AM14" s="0" t="n">
        <f aca="false">AE14-AL14</f>
        <v>-3.48976991748629E-007</v>
      </c>
    </row>
    <row r="15" customFormat="false" ht="15" hidden="false" customHeight="false" outlineLevel="0" collapsed="false">
      <c r="A15" s="0" t="s">
        <v>245</v>
      </c>
      <c r="B15" s="0" t="s">
        <v>246</v>
      </c>
      <c r="C15" s="0" t="n">
        <v>3</v>
      </c>
      <c r="D15" s="0" t="s">
        <v>239</v>
      </c>
      <c r="E15" s="0" t="n">
        <v>0.000277777777777778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0.15</v>
      </c>
      <c r="K15" s="0" t="n">
        <v>0.075</v>
      </c>
      <c r="L15" s="0" t="n">
        <v>0.6</v>
      </c>
      <c r="M15" s="0" t="n">
        <v>0.82</v>
      </c>
      <c r="N15" s="0" t="n">
        <v>1771</v>
      </c>
      <c r="O15" s="0" t="n">
        <v>70</v>
      </c>
      <c r="P15" s="0" t="n">
        <v>1.823</v>
      </c>
      <c r="Q15" s="0" t="n">
        <v>85.2</v>
      </c>
      <c r="R15" s="0" t="n">
        <v>1.266</v>
      </c>
      <c r="S15" s="0" t="n">
        <v>0</v>
      </c>
      <c r="T15" s="0" t="n">
        <v>0.00037796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f aca="false">IF(D15="full",60,IF(D15="gated",CALLER_S*GR,0))*(E15*FX+F15)+EXCH*G15*H15*FX+I15</f>
        <v>1.58333333333333</v>
      </c>
      <c r="AB15" s="0" t="n">
        <f aca="false">EXCH*R15*((N15+S15+O15*(MAX(EXCH*C15,1)-1)/2)*P15*((1-M15)*J15+M15*K15)+Q15*L15)/1000000*FX</f>
        <v>0.250101203713425</v>
      </c>
      <c r="AC15" s="0" t="n">
        <f aca="false">(AGENT_S+V15*EXCH)*(T15*FX+U15)+EXCH*W15*X15*FX+Y15</f>
        <v>0.8617488</v>
      </c>
      <c r="AD15" s="0" t="n">
        <f aca="false">IF(Z15=1,((214*C15+S15+1000)*0.44+400*1.76)/1000000*FX/C15,0)</f>
        <v>0</v>
      </c>
      <c r="AE15" s="0" t="n">
        <f aca="false">AA15+AB15+AC15+AD15</f>
        <v>2.69518333704676</v>
      </c>
      <c r="AF15" s="0" t="n">
        <f aca="false">TEL*(C15+0.25)/C15</f>
        <v>0.465833333333333</v>
      </c>
      <c r="AG15" s="0" t="n">
        <f aca="false">AE15+AF15+INFRA</f>
        <v>3.19101667038009</v>
      </c>
      <c r="AH15" s="0" t="n">
        <f aca="false">AG15/0.6</f>
        <v>5.31836111730015</v>
      </c>
      <c r="AI15" s="0" t="n">
        <f aca="false">AG15/0.5</f>
        <v>6.38203334076018</v>
      </c>
      <c r="AJ15" s="0" t="n">
        <f aca="false">AG15/0.4</f>
        <v>7.97754167595023</v>
      </c>
      <c r="AK15" s="0" t="n">
        <f aca="false">1-AG15/IF(GST_INCL=1,PRICE/(1+GST_RATE),PRICE)</f>
        <v>-0.595508335190046</v>
      </c>
      <c r="AL15" s="0" t="n">
        <v>2.695183</v>
      </c>
      <c r="AM15" s="0" t="n">
        <f aca="false">AE15-AL15</f>
        <v>3.3704675805879E-007</v>
      </c>
    </row>
    <row r="16" customFormat="false" ht="15" hidden="false" customHeight="false" outlineLevel="0" collapsed="false">
      <c r="A16" s="0" t="s">
        <v>245</v>
      </c>
      <c r="B16" s="0" t="s">
        <v>246</v>
      </c>
      <c r="C16" s="0" t="n">
        <v>5</v>
      </c>
      <c r="D16" s="0" t="s">
        <v>239</v>
      </c>
      <c r="E16" s="0" t="n">
        <v>0.000277777777777778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0.15</v>
      </c>
      <c r="K16" s="0" t="n">
        <v>0.075</v>
      </c>
      <c r="L16" s="0" t="n">
        <v>0.6</v>
      </c>
      <c r="M16" s="0" t="n">
        <v>0.82</v>
      </c>
      <c r="N16" s="0" t="n">
        <v>1771</v>
      </c>
      <c r="O16" s="0" t="n">
        <v>70</v>
      </c>
      <c r="P16" s="0" t="n">
        <v>1.823</v>
      </c>
      <c r="Q16" s="0" t="n">
        <v>85.2</v>
      </c>
      <c r="R16" s="0" t="n">
        <v>1.266</v>
      </c>
      <c r="S16" s="0" t="n">
        <v>0</v>
      </c>
      <c r="T16" s="0" t="n">
        <v>0.00037796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f aca="false">IF(D16="full",60,IF(D16="gated",CALLER_S*GR,0))*(E16*FX+F16)+EXCH*G16*H16*FX+I16</f>
        <v>1.58333333333333</v>
      </c>
      <c r="AB16" s="0" t="n">
        <f aca="false">EXCH*R16*((N16+S16+O16*(MAX(EXCH*C16,1)-1)/2)*P16*((1-M16)*J16+M16*K16)+Q16*L16)/1000000*FX</f>
        <v>0.284057889737175</v>
      </c>
      <c r="AC16" s="0" t="n">
        <f aca="false">(AGENT_S+V16*EXCH)*(T16*FX+U16)+EXCH*W16*X16*FX+Y16</f>
        <v>0.8617488</v>
      </c>
      <c r="AD16" s="0" t="n">
        <f aca="false">IF(Z16=1,((214*C16+S16+1000)*0.44+400*1.76)/1000000*FX/C16,0)</f>
        <v>0</v>
      </c>
      <c r="AE16" s="0" t="n">
        <f aca="false">AA16+AB16+AC16+AD16</f>
        <v>2.72914002307051</v>
      </c>
      <c r="AF16" s="0" t="n">
        <f aca="false">TEL*(C16+0.25)/C16</f>
        <v>0.4515</v>
      </c>
      <c r="AG16" s="0" t="n">
        <f aca="false">AE16+AF16+INFRA</f>
        <v>3.21064002307051</v>
      </c>
      <c r="AH16" s="0" t="n">
        <f aca="false">AG16/0.6</f>
        <v>5.35106670511751</v>
      </c>
      <c r="AI16" s="0" t="n">
        <f aca="false">AG16/0.5</f>
        <v>6.42128004614102</v>
      </c>
      <c r="AJ16" s="0" t="n">
        <f aca="false">AG16/0.4</f>
        <v>8.02660005767627</v>
      </c>
      <c r="AK16" s="0" t="n">
        <f aca="false">1-AG16/IF(GST_INCL=1,PRICE/(1+GST_RATE),PRICE)</f>
        <v>-0.605320011535254</v>
      </c>
      <c r="AL16" s="0" t="n">
        <v>2.72914</v>
      </c>
      <c r="AM16" s="0" t="n">
        <f aca="false">AE16-AL16</f>
        <v>2.30705081705196E-008</v>
      </c>
    </row>
    <row r="17" customFormat="false" ht="15" hidden="false" customHeight="false" outlineLevel="0" collapsed="false">
      <c r="A17" s="0" t="s">
        <v>245</v>
      </c>
      <c r="B17" s="0" t="s">
        <v>246</v>
      </c>
      <c r="C17" s="0" t="n">
        <v>10</v>
      </c>
      <c r="D17" s="0" t="s">
        <v>239</v>
      </c>
      <c r="E17" s="0" t="n">
        <v>0.000277777777777778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0.15</v>
      </c>
      <c r="K17" s="0" t="n">
        <v>0.075</v>
      </c>
      <c r="L17" s="0" t="n">
        <v>0.6</v>
      </c>
      <c r="M17" s="0" t="n">
        <v>0.82</v>
      </c>
      <c r="N17" s="0" t="n">
        <v>1771</v>
      </c>
      <c r="O17" s="0" t="n">
        <v>70</v>
      </c>
      <c r="P17" s="0" t="n">
        <v>1.823</v>
      </c>
      <c r="Q17" s="0" t="n">
        <v>85.2</v>
      </c>
      <c r="R17" s="0" t="n">
        <v>1.266</v>
      </c>
      <c r="S17" s="0" t="n">
        <v>0</v>
      </c>
      <c r="T17" s="0" t="n">
        <v>0.00037796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f aca="false">IF(D17="full",60,IF(D17="gated",CALLER_S*GR,0))*(E17*FX+F17)+EXCH*G17*H17*FX+I17</f>
        <v>1.58333333333333</v>
      </c>
      <c r="AB17" s="0" t="n">
        <f aca="false">EXCH*R17*((N17+S17+O17*(MAX(EXCH*C17,1)-1)/2)*P17*((1-M17)*J17+M17*K17)+Q17*L17)/1000000*FX</f>
        <v>0.36894960479655</v>
      </c>
      <c r="AC17" s="0" t="n">
        <f aca="false">(AGENT_S+V17*EXCH)*(T17*FX+U17)+EXCH*W17*X17*FX+Y17</f>
        <v>0.8617488</v>
      </c>
      <c r="AD17" s="0" t="n">
        <f aca="false">IF(Z17=1,((214*C17+S17+1000)*0.44+400*1.76)/1000000*FX/C17,0)</f>
        <v>0</v>
      </c>
      <c r="AE17" s="0" t="n">
        <f aca="false">AA17+AB17+AC17+AD17</f>
        <v>2.81403173812988</v>
      </c>
      <c r="AF17" s="0" t="n">
        <f aca="false">TEL*(C17+0.25)/C17</f>
        <v>0.44075</v>
      </c>
      <c r="AG17" s="0" t="n">
        <f aca="false">AE17+AF17+INFRA</f>
        <v>3.28478173812988</v>
      </c>
      <c r="AH17" s="0" t="n">
        <f aca="false">AG17/0.6</f>
        <v>5.47463623021647</v>
      </c>
      <c r="AI17" s="0" t="n">
        <f aca="false">AG17/0.5</f>
        <v>6.56956347625977</v>
      </c>
      <c r="AJ17" s="0" t="n">
        <f aca="false">AG17/0.4</f>
        <v>8.21195434532471</v>
      </c>
      <c r="AK17" s="0" t="n">
        <f aca="false">1-AG17/IF(GST_INCL=1,PRICE/(1+GST_RATE),PRICE)</f>
        <v>-0.642390869064942</v>
      </c>
      <c r="AL17" s="0" t="n">
        <v>2.814032</v>
      </c>
      <c r="AM17" s="0" t="n">
        <f aca="false">AE17-AL17</f>
        <v>-2.61870116702312E-007</v>
      </c>
    </row>
    <row r="18" customFormat="false" ht="15" hidden="false" customHeight="false" outlineLevel="0" collapsed="false">
      <c r="A18" s="0" t="s">
        <v>247</v>
      </c>
      <c r="B18" s="0" t="s">
        <v>248</v>
      </c>
      <c r="C18" s="0" t="n">
        <v>1</v>
      </c>
      <c r="D18" s="0" t="s">
        <v>239</v>
      </c>
      <c r="E18" s="0" t="n">
        <v>8.75E-005</v>
      </c>
      <c r="F18" s="0" t="n">
        <v>0</v>
      </c>
      <c r="G18" s="0" t="n">
        <v>14.6</v>
      </c>
      <c r="H18" s="0" t="n">
        <v>2.1E-005</v>
      </c>
      <c r="I18" s="0" t="n">
        <v>0</v>
      </c>
      <c r="J18" s="0" t="n">
        <v>0.15</v>
      </c>
      <c r="K18" s="0" t="n">
        <v>0.075</v>
      </c>
      <c r="L18" s="0" t="n">
        <v>0.6</v>
      </c>
      <c r="M18" s="0" t="n">
        <v>0.831</v>
      </c>
      <c r="N18" s="0" t="n">
        <v>1773</v>
      </c>
      <c r="O18" s="0" t="n">
        <v>64.8</v>
      </c>
      <c r="P18" s="0" t="n">
        <v>1.864</v>
      </c>
      <c r="Q18" s="0" t="n">
        <v>76.5</v>
      </c>
      <c r="R18" s="0" t="n">
        <v>1.266</v>
      </c>
      <c r="S18" s="0" t="n">
        <v>0</v>
      </c>
      <c r="T18" s="0" t="n">
        <v>0.0001536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f aca="false">IF(D18="full",60,IF(D18="gated",CALLER_S*GR,0))*(E18*FX+F18)+EXCH*G18*H18*FX+I18</f>
        <v>0.644385</v>
      </c>
      <c r="AB18" s="0" t="n">
        <f aca="false">EXCH*R18*((N18+S18+O18*(MAX(EXCH*C18,1)-1)/2)*P18*((1-M18)*J18+M18*K18)+Q18*L18)/1000000*FX</f>
        <v>0.214582539700962</v>
      </c>
      <c r="AC18" s="0" t="n">
        <f aca="false">(AGENT_S+V18*EXCH)*(T18*FX+U18)+EXCH*W18*X18*FX+Y18</f>
        <v>0.350208</v>
      </c>
      <c r="AD18" s="0" t="n">
        <f aca="false">IF(Z18=1,((214*C18+S18+1000)*0.44+400*1.76)/1000000*FX/C18,0)</f>
        <v>0</v>
      </c>
      <c r="AE18" s="0" t="n">
        <f aca="false">AA18+AB18+AC18+AD18</f>
        <v>1.20917553970096</v>
      </c>
      <c r="AF18" s="0" t="n">
        <f aca="false">TEL*(C18+0.25)/C18</f>
        <v>0.5375</v>
      </c>
      <c r="AG18" s="0" t="n">
        <f aca="false">AE18+AF18+INFRA</f>
        <v>1.77667553970096</v>
      </c>
      <c r="AH18" s="0" t="n">
        <f aca="false">AG18/0.6</f>
        <v>2.9611258995016</v>
      </c>
      <c r="AI18" s="0" t="n">
        <f aca="false">AG18/0.5</f>
        <v>3.55335107940192</v>
      </c>
      <c r="AJ18" s="0" t="n">
        <f aca="false">AG18/0.4</f>
        <v>4.4416888492524</v>
      </c>
      <c r="AK18" s="0" t="n">
        <f aca="false">1-AG18/IF(GST_INCL=1,PRICE/(1+GST_RATE),PRICE)</f>
        <v>0.111662230149519</v>
      </c>
      <c r="AL18" s="0" t="n">
        <v>1.209176</v>
      </c>
      <c r="AM18" s="0" t="n">
        <f aca="false">AE18-AL18</f>
        <v>-4.60299038218537E-007</v>
      </c>
    </row>
    <row r="19" customFormat="false" ht="15" hidden="false" customHeight="false" outlineLevel="0" collapsed="false">
      <c r="A19" s="0" t="s">
        <v>247</v>
      </c>
      <c r="B19" s="0" t="s">
        <v>248</v>
      </c>
      <c r="C19" s="0" t="n">
        <v>3</v>
      </c>
      <c r="D19" s="0" t="s">
        <v>239</v>
      </c>
      <c r="E19" s="0" t="n">
        <v>8.75E-005</v>
      </c>
      <c r="F19" s="0" t="n">
        <v>0</v>
      </c>
      <c r="G19" s="0" t="n">
        <v>14.6</v>
      </c>
      <c r="H19" s="0" t="n">
        <v>2.1E-005</v>
      </c>
      <c r="I19" s="0" t="n">
        <v>0</v>
      </c>
      <c r="J19" s="0" t="n">
        <v>0.15</v>
      </c>
      <c r="K19" s="0" t="n">
        <v>0.075</v>
      </c>
      <c r="L19" s="0" t="n">
        <v>0.6</v>
      </c>
      <c r="M19" s="0" t="n">
        <v>0.831</v>
      </c>
      <c r="N19" s="0" t="n">
        <v>1773</v>
      </c>
      <c r="O19" s="0" t="n">
        <v>64.8</v>
      </c>
      <c r="P19" s="0" t="n">
        <v>1.864</v>
      </c>
      <c r="Q19" s="0" t="n">
        <v>76.5</v>
      </c>
      <c r="R19" s="0" t="n">
        <v>1.266</v>
      </c>
      <c r="S19" s="0" t="n">
        <v>0</v>
      </c>
      <c r="T19" s="0" t="n">
        <v>0.0001536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f aca="false">IF(D19="full",60,IF(D19="gated",CALLER_S*GR,0))*(E19*FX+F19)+EXCH*G19*H19*FX+I19</f>
        <v>0.644385</v>
      </c>
      <c r="AB19" s="0" t="n">
        <f aca="false">EXCH*R19*((N19+S19+O19*(MAX(EXCH*C19,1)-1)/2)*P19*((1-M19)*J19+M19*K19)+Q19*L19)/1000000*FX</f>
        <v>0.246424075600842</v>
      </c>
      <c r="AC19" s="0" t="n">
        <f aca="false">(AGENT_S+V19*EXCH)*(T19*FX+U19)+EXCH*W19*X19*FX+Y19</f>
        <v>0.350208</v>
      </c>
      <c r="AD19" s="0" t="n">
        <f aca="false">IF(Z19=1,((214*C19+S19+1000)*0.44+400*1.76)/1000000*FX/C19,0)</f>
        <v>0</v>
      </c>
      <c r="AE19" s="0" t="n">
        <f aca="false">AA19+AB19+AC19+AD19</f>
        <v>1.24101707560084</v>
      </c>
      <c r="AF19" s="0" t="n">
        <f aca="false">TEL*(C19+0.25)/C19</f>
        <v>0.465833333333333</v>
      </c>
      <c r="AG19" s="0" t="n">
        <f aca="false">AE19+AF19+INFRA</f>
        <v>1.73685040893418</v>
      </c>
      <c r="AH19" s="0" t="n">
        <f aca="false">AG19/0.6</f>
        <v>2.89475068155696</v>
      </c>
      <c r="AI19" s="0" t="n">
        <f aca="false">AG19/0.5</f>
        <v>3.47370081786835</v>
      </c>
      <c r="AJ19" s="0" t="n">
        <f aca="false">AG19/0.4</f>
        <v>4.34212602233544</v>
      </c>
      <c r="AK19" s="0" t="n">
        <f aca="false">1-AG19/IF(GST_INCL=1,PRICE/(1+GST_RATE),PRICE)</f>
        <v>0.131574795532912</v>
      </c>
      <c r="AL19" s="0" t="n">
        <v>1.241017</v>
      </c>
      <c r="AM19" s="0" t="n">
        <f aca="false">AE19-AL19</f>
        <v>7.56008418090204E-008</v>
      </c>
    </row>
    <row r="20" customFormat="false" ht="15" hidden="false" customHeight="false" outlineLevel="0" collapsed="false">
      <c r="A20" s="0" t="s">
        <v>247</v>
      </c>
      <c r="B20" s="0" t="s">
        <v>248</v>
      </c>
      <c r="C20" s="0" t="n">
        <v>5</v>
      </c>
      <c r="D20" s="0" t="s">
        <v>239</v>
      </c>
      <c r="E20" s="0" t="n">
        <v>8.75E-005</v>
      </c>
      <c r="F20" s="0" t="n">
        <v>0</v>
      </c>
      <c r="G20" s="0" t="n">
        <v>14.6</v>
      </c>
      <c r="H20" s="0" t="n">
        <v>2.1E-005</v>
      </c>
      <c r="I20" s="0" t="n">
        <v>0</v>
      </c>
      <c r="J20" s="0" t="n">
        <v>0.15</v>
      </c>
      <c r="K20" s="0" t="n">
        <v>0.075</v>
      </c>
      <c r="L20" s="0" t="n">
        <v>0.6</v>
      </c>
      <c r="M20" s="0" t="n">
        <v>0.831</v>
      </c>
      <c r="N20" s="0" t="n">
        <v>1773</v>
      </c>
      <c r="O20" s="0" t="n">
        <v>64.8</v>
      </c>
      <c r="P20" s="0" t="n">
        <v>1.864</v>
      </c>
      <c r="Q20" s="0" t="n">
        <v>76.5</v>
      </c>
      <c r="R20" s="0" t="n">
        <v>1.266</v>
      </c>
      <c r="S20" s="0" t="n">
        <v>0</v>
      </c>
      <c r="T20" s="0" t="n">
        <v>0.0001536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f aca="false">IF(D20="full",60,IF(D20="gated",CALLER_S*GR,0))*(E20*FX+F20)+EXCH*G20*H20*FX+I20</f>
        <v>0.644385</v>
      </c>
      <c r="AB20" s="0" t="n">
        <f aca="false">EXCH*R20*((N20+S20+O20*(MAX(EXCH*C20,1)-1)/2)*P20*((1-M20)*J20+M20*K20)+Q20*L20)/1000000*FX</f>
        <v>0.278265611500722</v>
      </c>
      <c r="AC20" s="0" t="n">
        <f aca="false">(AGENT_S+V20*EXCH)*(T20*FX+U20)+EXCH*W20*X20*FX+Y20</f>
        <v>0.350208</v>
      </c>
      <c r="AD20" s="0" t="n">
        <f aca="false">IF(Z20=1,((214*C20+S20+1000)*0.44+400*1.76)/1000000*FX/C20,0)</f>
        <v>0</v>
      </c>
      <c r="AE20" s="0" t="n">
        <f aca="false">AA20+AB20+AC20+AD20</f>
        <v>1.27285861150072</v>
      </c>
      <c r="AF20" s="0" t="n">
        <f aca="false">TEL*(C20+0.25)/C20</f>
        <v>0.4515</v>
      </c>
      <c r="AG20" s="0" t="n">
        <f aca="false">AE20+AF20+INFRA</f>
        <v>1.75435861150072</v>
      </c>
      <c r="AH20" s="0" t="n">
        <f aca="false">AG20/0.6</f>
        <v>2.92393101916787</v>
      </c>
      <c r="AI20" s="0" t="n">
        <f aca="false">AG20/0.5</f>
        <v>3.50871722300144</v>
      </c>
      <c r="AJ20" s="0" t="n">
        <f aca="false">AG20/0.4</f>
        <v>4.38589652875181</v>
      </c>
      <c r="AK20" s="0" t="n">
        <f aca="false">1-AG20/IF(GST_INCL=1,PRICE/(1+GST_RATE),PRICE)</f>
        <v>0.122820694249639</v>
      </c>
      <c r="AL20" s="0" t="n">
        <v>1.272859</v>
      </c>
      <c r="AM20" s="0" t="n">
        <f aca="false">AE20-AL20</f>
        <v>-3.88499278081156E-007</v>
      </c>
    </row>
    <row r="21" customFormat="false" ht="15" hidden="false" customHeight="false" outlineLevel="0" collapsed="false">
      <c r="A21" s="0" t="s">
        <v>247</v>
      </c>
      <c r="B21" s="0" t="s">
        <v>248</v>
      </c>
      <c r="C21" s="0" t="n">
        <v>10</v>
      </c>
      <c r="D21" s="0" t="s">
        <v>239</v>
      </c>
      <c r="E21" s="0" t="n">
        <v>8.75E-005</v>
      </c>
      <c r="F21" s="0" t="n">
        <v>0</v>
      </c>
      <c r="G21" s="0" t="n">
        <v>14.6</v>
      </c>
      <c r="H21" s="0" t="n">
        <v>2.1E-005</v>
      </c>
      <c r="I21" s="0" t="n">
        <v>0</v>
      </c>
      <c r="J21" s="0" t="n">
        <v>0.15</v>
      </c>
      <c r="K21" s="0" t="n">
        <v>0.075</v>
      </c>
      <c r="L21" s="0" t="n">
        <v>0.6</v>
      </c>
      <c r="M21" s="0" t="n">
        <v>0.831</v>
      </c>
      <c r="N21" s="0" t="n">
        <v>1773</v>
      </c>
      <c r="O21" s="0" t="n">
        <v>64.8</v>
      </c>
      <c r="P21" s="0" t="n">
        <v>1.864</v>
      </c>
      <c r="Q21" s="0" t="n">
        <v>76.5</v>
      </c>
      <c r="R21" s="0" t="n">
        <v>1.266</v>
      </c>
      <c r="S21" s="0" t="n">
        <v>0</v>
      </c>
      <c r="T21" s="0" t="n">
        <v>0.0001536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f aca="false">IF(D21="full",60,IF(D21="gated",CALLER_S*GR,0))*(E21*FX+F21)+EXCH*G21*H21*FX+I21</f>
        <v>0.644385</v>
      </c>
      <c r="AB21" s="0" t="n">
        <f aca="false">EXCH*R21*((N21+S21+O21*(MAX(EXCH*C21,1)-1)/2)*P21*((1-M21)*J21+M21*K21)+Q21*L21)/1000000*FX</f>
        <v>0.357869451250422</v>
      </c>
      <c r="AC21" s="0" t="n">
        <f aca="false">(AGENT_S+V21*EXCH)*(T21*FX+U21)+EXCH*W21*X21*FX+Y21</f>
        <v>0.350208</v>
      </c>
      <c r="AD21" s="0" t="n">
        <f aca="false">IF(Z21=1,((214*C21+S21+1000)*0.44+400*1.76)/1000000*FX/C21,0)</f>
        <v>0</v>
      </c>
      <c r="AE21" s="0" t="n">
        <f aca="false">AA21+AB21+AC21+AD21</f>
        <v>1.35246245125042</v>
      </c>
      <c r="AF21" s="0" t="n">
        <f aca="false">TEL*(C21+0.25)/C21</f>
        <v>0.44075</v>
      </c>
      <c r="AG21" s="0" t="n">
        <f aca="false">AE21+AF21+INFRA</f>
        <v>1.82321245125042</v>
      </c>
      <c r="AH21" s="0" t="n">
        <f aca="false">AG21/0.6</f>
        <v>3.0386874187507</v>
      </c>
      <c r="AI21" s="0" t="n">
        <f aca="false">AG21/0.5</f>
        <v>3.64642490250084</v>
      </c>
      <c r="AJ21" s="0" t="n">
        <f aca="false">AG21/0.4</f>
        <v>4.55803112812605</v>
      </c>
      <c r="AK21" s="0" t="n">
        <f aca="false">1-AG21/IF(GST_INCL=1,PRICE/(1+GST_RATE),PRICE)</f>
        <v>0.088393774374789</v>
      </c>
      <c r="AL21" s="0" t="n">
        <v>1.352462</v>
      </c>
      <c r="AM21" s="0" t="n">
        <f aca="false">AE21-AL21</f>
        <v>4.51250421917848E-007</v>
      </c>
    </row>
    <row r="22" customFormat="false" ht="15" hidden="false" customHeight="false" outlineLevel="0" collapsed="false">
      <c r="A22" s="0" t="s">
        <v>249</v>
      </c>
      <c r="B22" s="0" t="s">
        <v>250</v>
      </c>
      <c r="C22" s="0" t="n">
        <v>1</v>
      </c>
      <c r="D22" s="0" t="s">
        <v>242</v>
      </c>
      <c r="E22" s="0" t="n">
        <v>8.75E-005</v>
      </c>
      <c r="F22" s="0" t="n">
        <v>0</v>
      </c>
      <c r="G22" s="0" t="n">
        <v>14.6</v>
      </c>
      <c r="H22" s="0" t="n">
        <v>2.1E-005</v>
      </c>
      <c r="I22" s="0" t="n">
        <v>0</v>
      </c>
      <c r="J22" s="0" t="n">
        <v>0.15</v>
      </c>
      <c r="K22" s="0" t="n">
        <v>0.075</v>
      </c>
      <c r="L22" s="0" t="n">
        <v>0.6</v>
      </c>
      <c r="M22" s="0" t="n">
        <v>0.851</v>
      </c>
      <c r="N22" s="0" t="n">
        <v>1920</v>
      </c>
      <c r="O22" s="0" t="n">
        <v>40.3</v>
      </c>
      <c r="P22" s="0" t="n">
        <v>1.793</v>
      </c>
      <c r="Q22" s="0" t="n">
        <v>66.7</v>
      </c>
      <c r="R22" s="0" t="n">
        <v>1.266</v>
      </c>
      <c r="S22" s="0" t="n">
        <v>0</v>
      </c>
      <c r="T22" s="0" t="n">
        <v>0.0001449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f aca="false">IF(D22="full",60,IF(D22="gated",CALLER_S*GR,0))*(E22*FX+F22)+EXCH*G22*H22*FX+I22</f>
        <v>0.382242</v>
      </c>
      <c r="AB22" s="0" t="n">
        <f aca="false">EXCH*R22*((N22+S22+O22*(MAX(EXCH*C22,1)-1)/2)*P22*((1-M22)*J22+M22*K22)+Q22*L22)/1000000*FX</f>
        <v>0.209953088186038</v>
      </c>
      <c r="AC22" s="0" t="n">
        <f aca="false">(AGENT_S+V22*EXCH)*(T22*FX+U22)+EXCH*W22*X22*FX+Y22</f>
        <v>0.330372</v>
      </c>
      <c r="AD22" s="0" t="n">
        <f aca="false">IF(Z22=1,((214*C22+S22+1000)*0.44+400*1.76)/1000000*FX/C22,0)</f>
        <v>0</v>
      </c>
      <c r="AE22" s="0" t="n">
        <f aca="false">AA22+AB22+AC22+AD22</f>
        <v>0.922567088186038</v>
      </c>
      <c r="AF22" s="0" t="n">
        <f aca="false">TEL*(C22+0.25)/C22</f>
        <v>0.5375</v>
      </c>
      <c r="AG22" s="0" t="n">
        <f aca="false">AE22+AF22+INFRA</f>
        <v>1.49006708818604</v>
      </c>
      <c r="AH22" s="0" t="n">
        <f aca="false">AG22/0.6</f>
        <v>2.48344514697673</v>
      </c>
      <c r="AI22" s="0" t="n">
        <f aca="false">AG22/0.5</f>
        <v>2.98013417637208</v>
      </c>
      <c r="AJ22" s="0" t="n">
        <f aca="false">AG22/0.4</f>
        <v>3.72516772046509</v>
      </c>
      <c r="AK22" s="0" t="n">
        <f aca="false">1-AG22/IF(GST_INCL=1,PRICE/(1+GST_RATE),PRICE)</f>
        <v>0.254966455906981</v>
      </c>
      <c r="AL22" s="0" t="n">
        <v>0.922567</v>
      </c>
      <c r="AM22" s="0" t="n">
        <f aca="false">AE22-AL22</f>
        <v>8.81860375834265E-008</v>
      </c>
    </row>
    <row r="23" customFormat="false" ht="15" hidden="false" customHeight="false" outlineLevel="0" collapsed="false">
      <c r="A23" s="0" t="s">
        <v>249</v>
      </c>
      <c r="B23" s="0" t="s">
        <v>250</v>
      </c>
      <c r="C23" s="0" t="n">
        <v>3</v>
      </c>
      <c r="D23" s="0" t="s">
        <v>242</v>
      </c>
      <c r="E23" s="0" t="n">
        <v>8.75E-005</v>
      </c>
      <c r="F23" s="0" t="n">
        <v>0</v>
      </c>
      <c r="G23" s="0" t="n">
        <v>14.6</v>
      </c>
      <c r="H23" s="0" t="n">
        <v>2.1E-005</v>
      </c>
      <c r="I23" s="0" t="n">
        <v>0</v>
      </c>
      <c r="J23" s="0" t="n">
        <v>0.15</v>
      </c>
      <c r="K23" s="0" t="n">
        <v>0.075</v>
      </c>
      <c r="L23" s="0" t="n">
        <v>0.6</v>
      </c>
      <c r="M23" s="0" t="n">
        <v>0.851</v>
      </c>
      <c r="N23" s="0" t="n">
        <v>1920</v>
      </c>
      <c r="O23" s="0" t="n">
        <v>40.3</v>
      </c>
      <c r="P23" s="0" t="n">
        <v>1.793</v>
      </c>
      <c r="Q23" s="0" t="n">
        <v>66.7</v>
      </c>
      <c r="R23" s="0" t="n">
        <v>1.266</v>
      </c>
      <c r="S23" s="0" t="n">
        <v>0</v>
      </c>
      <c r="T23" s="0" t="n">
        <v>0.0001449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f aca="false">IF(D23="full",60,IF(D23="gated",CALLER_S*GR,0))*(E23*FX+F23)+EXCH*G23*H23*FX+I23</f>
        <v>0.382242</v>
      </c>
      <c r="AB23" s="0" t="n">
        <f aca="false">EXCH*R23*((N23+S23+O23*(MAX(EXCH*C23,1)-1)/2)*P23*((1-M23)*J23+M23*K23)+Q23*L23)/1000000*FX</f>
        <v>0.228675592849132</v>
      </c>
      <c r="AC23" s="0" t="n">
        <f aca="false">(AGENT_S+V23*EXCH)*(T23*FX+U23)+EXCH*W23*X23*FX+Y23</f>
        <v>0.330372</v>
      </c>
      <c r="AD23" s="0" t="n">
        <f aca="false">IF(Z23=1,((214*C23+S23+1000)*0.44+400*1.76)/1000000*FX/C23,0)</f>
        <v>0</v>
      </c>
      <c r="AE23" s="0" t="n">
        <f aca="false">AA23+AB23+AC23+AD23</f>
        <v>0.941289592849132</v>
      </c>
      <c r="AF23" s="0" t="n">
        <f aca="false">TEL*(C23+0.25)/C23</f>
        <v>0.465833333333333</v>
      </c>
      <c r="AG23" s="0" t="n">
        <f aca="false">AE23+AF23+INFRA</f>
        <v>1.43712292618247</v>
      </c>
      <c r="AH23" s="0" t="n">
        <f aca="false">AG23/0.6</f>
        <v>2.39520487697078</v>
      </c>
      <c r="AI23" s="0" t="n">
        <f aca="false">AG23/0.5</f>
        <v>2.87424585236493</v>
      </c>
      <c r="AJ23" s="0" t="n">
        <f aca="false">AG23/0.4</f>
        <v>3.59280731545616</v>
      </c>
      <c r="AK23" s="0" t="n">
        <f aca="false">1-AG23/IF(GST_INCL=1,PRICE/(1+GST_RATE),PRICE)</f>
        <v>0.281438536908767</v>
      </c>
      <c r="AL23" s="0" t="n">
        <v>0.94129</v>
      </c>
      <c r="AM23" s="0" t="n">
        <f aca="false">AE23-AL23</f>
        <v>-4.07150867909323E-007</v>
      </c>
    </row>
    <row r="24" customFormat="false" ht="15" hidden="false" customHeight="false" outlineLevel="0" collapsed="false">
      <c r="A24" s="0" t="s">
        <v>249</v>
      </c>
      <c r="B24" s="0" t="s">
        <v>250</v>
      </c>
      <c r="C24" s="0" t="n">
        <v>5</v>
      </c>
      <c r="D24" s="0" t="s">
        <v>242</v>
      </c>
      <c r="E24" s="0" t="n">
        <v>8.75E-005</v>
      </c>
      <c r="F24" s="0" t="n">
        <v>0</v>
      </c>
      <c r="G24" s="0" t="n">
        <v>14.6</v>
      </c>
      <c r="H24" s="0" t="n">
        <v>2.1E-005</v>
      </c>
      <c r="I24" s="0" t="n">
        <v>0</v>
      </c>
      <c r="J24" s="0" t="n">
        <v>0.15</v>
      </c>
      <c r="K24" s="0" t="n">
        <v>0.075</v>
      </c>
      <c r="L24" s="0" t="n">
        <v>0.6</v>
      </c>
      <c r="M24" s="0" t="n">
        <v>0.851</v>
      </c>
      <c r="N24" s="0" t="n">
        <v>1920</v>
      </c>
      <c r="O24" s="0" t="n">
        <v>40.3</v>
      </c>
      <c r="P24" s="0" t="n">
        <v>1.793</v>
      </c>
      <c r="Q24" s="0" t="n">
        <v>66.7</v>
      </c>
      <c r="R24" s="0" t="n">
        <v>1.266</v>
      </c>
      <c r="S24" s="0" t="n">
        <v>0</v>
      </c>
      <c r="T24" s="0" t="n">
        <v>0.0001449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f aca="false">IF(D24="full",60,IF(D24="gated",CALLER_S*GR,0))*(E24*FX+F24)+EXCH*G24*H24*FX+I24</f>
        <v>0.382242</v>
      </c>
      <c r="AB24" s="0" t="n">
        <f aca="false">EXCH*R24*((N24+S24+O24*(MAX(EXCH*C24,1)-1)/2)*P24*((1-M24)*J24+M24*K24)+Q24*L24)/1000000*FX</f>
        <v>0.247398097512226</v>
      </c>
      <c r="AC24" s="0" t="n">
        <f aca="false">(AGENT_S+V24*EXCH)*(T24*FX+U24)+EXCH*W24*X24*FX+Y24</f>
        <v>0.330372</v>
      </c>
      <c r="AD24" s="0" t="n">
        <f aca="false">IF(Z24=1,((214*C24+S24+1000)*0.44+400*1.76)/1000000*FX/C24,0)</f>
        <v>0</v>
      </c>
      <c r="AE24" s="0" t="n">
        <f aca="false">AA24+AB24+AC24+AD24</f>
        <v>0.960012097512226</v>
      </c>
      <c r="AF24" s="0" t="n">
        <f aca="false">TEL*(C24+0.25)/C24</f>
        <v>0.4515</v>
      </c>
      <c r="AG24" s="0" t="n">
        <f aca="false">AE24+AF24+INFRA</f>
        <v>1.44151209751223</v>
      </c>
      <c r="AH24" s="0" t="n">
        <f aca="false">AG24/0.6</f>
        <v>2.40252016252038</v>
      </c>
      <c r="AI24" s="0" t="n">
        <f aca="false">AG24/0.5</f>
        <v>2.88302419502445</v>
      </c>
      <c r="AJ24" s="0" t="n">
        <f aca="false">AG24/0.4</f>
        <v>3.60378024378057</v>
      </c>
      <c r="AK24" s="0" t="n">
        <f aca="false">1-AG24/IF(GST_INCL=1,PRICE/(1+GST_RATE),PRICE)</f>
        <v>0.279243951243887</v>
      </c>
      <c r="AL24" s="0" t="n">
        <v>0.960012</v>
      </c>
      <c r="AM24" s="0" t="n">
        <f aca="false">AE24-AL24</f>
        <v>9.75122264046391E-008</v>
      </c>
    </row>
    <row r="25" customFormat="false" ht="15" hidden="false" customHeight="false" outlineLevel="0" collapsed="false">
      <c r="A25" s="0" t="s">
        <v>249</v>
      </c>
      <c r="B25" s="0" t="s">
        <v>250</v>
      </c>
      <c r="C25" s="0" t="n">
        <v>10</v>
      </c>
      <c r="D25" s="0" t="s">
        <v>242</v>
      </c>
      <c r="E25" s="0" t="n">
        <v>8.75E-005</v>
      </c>
      <c r="F25" s="0" t="n">
        <v>0</v>
      </c>
      <c r="G25" s="0" t="n">
        <v>14.6</v>
      </c>
      <c r="H25" s="0" t="n">
        <v>2.1E-005</v>
      </c>
      <c r="I25" s="0" t="n">
        <v>0</v>
      </c>
      <c r="J25" s="0" t="n">
        <v>0.15</v>
      </c>
      <c r="K25" s="0" t="n">
        <v>0.075</v>
      </c>
      <c r="L25" s="0" t="n">
        <v>0.6</v>
      </c>
      <c r="M25" s="0" t="n">
        <v>0.851</v>
      </c>
      <c r="N25" s="0" t="n">
        <v>1920</v>
      </c>
      <c r="O25" s="0" t="n">
        <v>40.3</v>
      </c>
      <c r="P25" s="0" t="n">
        <v>1.793</v>
      </c>
      <c r="Q25" s="0" t="n">
        <v>66.7</v>
      </c>
      <c r="R25" s="0" t="n">
        <v>1.266</v>
      </c>
      <c r="S25" s="0" t="n">
        <v>0</v>
      </c>
      <c r="T25" s="0" t="n">
        <v>0.0001449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f aca="false">IF(D25="full",60,IF(D25="gated",CALLER_S*GR,0))*(E25*FX+F25)+EXCH*G25*H25*FX+I25</f>
        <v>0.382242</v>
      </c>
      <c r="AB25" s="0" t="n">
        <f aca="false">EXCH*R25*((N25+S25+O25*(MAX(EXCH*C25,1)-1)/2)*P25*((1-M25)*J25+M25*K25)+Q25*L25)/1000000*FX</f>
        <v>0.294204359169962</v>
      </c>
      <c r="AC25" s="0" t="n">
        <f aca="false">(AGENT_S+V25*EXCH)*(T25*FX+U25)+EXCH*W25*X25*FX+Y25</f>
        <v>0.330372</v>
      </c>
      <c r="AD25" s="0" t="n">
        <f aca="false">IF(Z25=1,((214*C25+S25+1000)*0.44+400*1.76)/1000000*FX/C25,0)</f>
        <v>0</v>
      </c>
      <c r="AE25" s="0" t="n">
        <f aca="false">AA25+AB25+AC25+AD25</f>
        <v>1.00681835916996</v>
      </c>
      <c r="AF25" s="0" t="n">
        <f aca="false">TEL*(C25+0.25)/C25</f>
        <v>0.44075</v>
      </c>
      <c r="AG25" s="0" t="n">
        <f aca="false">AE25+AF25+INFRA</f>
        <v>1.47756835916996</v>
      </c>
      <c r="AH25" s="0" t="n">
        <f aca="false">AG25/0.6</f>
        <v>2.46261393194994</v>
      </c>
      <c r="AI25" s="0" t="n">
        <f aca="false">AG25/0.5</f>
        <v>2.95513671833992</v>
      </c>
      <c r="AJ25" s="0" t="n">
        <f aca="false">AG25/0.4</f>
        <v>3.69392089792491</v>
      </c>
      <c r="AK25" s="0" t="n">
        <f aca="false">1-AG25/IF(GST_INCL=1,PRICE/(1+GST_RATE),PRICE)</f>
        <v>0.261215820415019</v>
      </c>
      <c r="AL25" s="0" t="n">
        <v>1.006818</v>
      </c>
      <c r="AM25" s="0" t="n">
        <f aca="false">AE25-AL25</f>
        <v>3.59169962216299E-007</v>
      </c>
    </row>
    <row r="26" customFormat="false" ht="15" hidden="false" customHeight="false" outlineLevel="0" collapsed="false">
      <c r="A26" s="0" t="s">
        <v>251</v>
      </c>
      <c r="B26" s="0" t="s">
        <v>252</v>
      </c>
      <c r="C26" s="0" t="n">
        <v>1</v>
      </c>
      <c r="D26" s="0" t="s">
        <v>242</v>
      </c>
      <c r="E26" s="0" t="n">
        <v>8.75E-005</v>
      </c>
      <c r="F26" s="0" t="n">
        <v>0</v>
      </c>
      <c r="G26" s="0" t="n">
        <v>14.6</v>
      </c>
      <c r="H26" s="0" t="n">
        <v>2.1E-005</v>
      </c>
      <c r="I26" s="0" t="n">
        <v>0</v>
      </c>
      <c r="J26" s="0" t="n">
        <v>0.15</v>
      </c>
      <c r="K26" s="0" t="n">
        <v>0.075</v>
      </c>
      <c r="L26" s="0" t="n">
        <v>0.6</v>
      </c>
      <c r="M26" s="0" t="n">
        <v>0.851</v>
      </c>
      <c r="N26" s="0" t="n">
        <v>1920</v>
      </c>
      <c r="O26" s="0" t="n">
        <v>40.3</v>
      </c>
      <c r="P26" s="0" t="n">
        <v>1.793</v>
      </c>
      <c r="Q26" s="0" t="n">
        <v>66.7</v>
      </c>
      <c r="R26" s="0" t="n">
        <v>1.266</v>
      </c>
      <c r="S26" s="0" t="n">
        <v>0</v>
      </c>
      <c r="T26" s="0" t="n">
        <v>0.00037796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f aca="false">IF(D26="full",60,IF(D26="gated",CALLER_S*GR,0))*(E26*FX+F26)+EXCH*G26*H26*FX+I26</f>
        <v>0.382242</v>
      </c>
      <c r="AB26" s="0" t="n">
        <f aca="false">EXCH*R26*((N26+S26+O26*(MAX(EXCH*C26,1)-1)/2)*P26*((1-M26)*J26+M26*K26)+Q26*L26)/1000000*FX</f>
        <v>0.209953088186038</v>
      </c>
      <c r="AC26" s="0" t="n">
        <f aca="false">(AGENT_S+V26*EXCH)*(T26*FX+U26)+EXCH*W26*X26*FX+Y26</f>
        <v>0.8617488</v>
      </c>
      <c r="AD26" s="0" t="n">
        <f aca="false">IF(Z26=1,((214*C26+S26+1000)*0.44+400*1.76)/1000000*FX/C26,0)</f>
        <v>0</v>
      </c>
      <c r="AE26" s="0" t="n">
        <f aca="false">AA26+AB26+AC26+AD26</f>
        <v>1.45394388818604</v>
      </c>
      <c r="AF26" s="0" t="n">
        <f aca="false">TEL*(C26+0.25)/C26</f>
        <v>0.5375</v>
      </c>
      <c r="AG26" s="0" t="n">
        <f aca="false">AE26+AF26+INFRA</f>
        <v>2.02144388818604</v>
      </c>
      <c r="AH26" s="0" t="n">
        <f aca="false">AG26/0.6</f>
        <v>3.36907314697673</v>
      </c>
      <c r="AI26" s="0" t="n">
        <f aca="false">AG26/0.5</f>
        <v>4.04288777637207</v>
      </c>
      <c r="AJ26" s="0" t="n">
        <f aca="false">AG26/0.4</f>
        <v>5.05360972046509</v>
      </c>
      <c r="AK26" s="0" t="n">
        <f aca="false">1-AG26/IF(GST_INCL=1,PRICE/(1+GST_RATE),PRICE)</f>
        <v>-0.0107219440930186</v>
      </c>
      <c r="AL26" s="0" t="n">
        <v>1.453944</v>
      </c>
      <c r="AM26" s="0" t="n">
        <f aca="false">AE26-AL26</f>
        <v>-1.11813962311302E-007</v>
      </c>
    </row>
    <row r="27" customFormat="false" ht="15" hidden="false" customHeight="false" outlineLevel="0" collapsed="false">
      <c r="A27" s="0" t="s">
        <v>251</v>
      </c>
      <c r="B27" s="0" t="s">
        <v>252</v>
      </c>
      <c r="C27" s="0" t="n">
        <v>3</v>
      </c>
      <c r="D27" s="0" t="s">
        <v>242</v>
      </c>
      <c r="E27" s="0" t="n">
        <v>8.75E-005</v>
      </c>
      <c r="F27" s="0" t="n">
        <v>0</v>
      </c>
      <c r="G27" s="0" t="n">
        <v>14.6</v>
      </c>
      <c r="H27" s="0" t="n">
        <v>2.1E-005</v>
      </c>
      <c r="I27" s="0" t="n">
        <v>0</v>
      </c>
      <c r="J27" s="0" t="n">
        <v>0.15</v>
      </c>
      <c r="K27" s="0" t="n">
        <v>0.075</v>
      </c>
      <c r="L27" s="0" t="n">
        <v>0.6</v>
      </c>
      <c r="M27" s="0" t="n">
        <v>0.851</v>
      </c>
      <c r="N27" s="0" t="n">
        <v>1920</v>
      </c>
      <c r="O27" s="0" t="n">
        <v>40.3</v>
      </c>
      <c r="P27" s="0" t="n">
        <v>1.793</v>
      </c>
      <c r="Q27" s="0" t="n">
        <v>66.7</v>
      </c>
      <c r="R27" s="0" t="n">
        <v>1.266</v>
      </c>
      <c r="S27" s="0" t="n">
        <v>0</v>
      </c>
      <c r="T27" s="0" t="n">
        <v>0.00037796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f aca="false">IF(D27="full",60,IF(D27="gated",CALLER_S*GR,0))*(E27*FX+F27)+EXCH*G27*H27*FX+I27</f>
        <v>0.382242</v>
      </c>
      <c r="AB27" s="0" t="n">
        <f aca="false">EXCH*R27*((N27+S27+O27*(MAX(EXCH*C27,1)-1)/2)*P27*((1-M27)*J27+M27*K27)+Q27*L27)/1000000*FX</f>
        <v>0.228675592849132</v>
      </c>
      <c r="AC27" s="0" t="n">
        <f aca="false">(AGENT_S+V27*EXCH)*(T27*FX+U27)+EXCH*W27*X27*FX+Y27</f>
        <v>0.8617488</v>
      </c>
      <c r="AD27" s="0" t="n">
        <f aca="false">IF(Z27=1,((214*C27+S27+1000)*0.44+400*1.76)/1000000*FX/C27,0)</f>
        <v>0</v>
      </c>
      <c r="AE27" s="0" t="n">
        <f aca="false">AA27+AB27+AC27+AD27</f>
        <v>1.47266639284913</v>
      </c>
      <c r="AF27" s="0" t="n">
        <f aca="false">TEL*(C27+0.25)/C27</f>
        <v>0.465833333333333</v>
      </c>
      <c r="AG27" s="0" t="n">
        <f aca="false">AE27+AF27+INFRA</f>
        <v>1.96849972618247</v>
      </c>
      <c r="AH27" s="0" t="n">
        <f aca="false">AG27/0.6</f>
        <v>3.28083287697078</v>
      </c>
      <c r="AI27" s="0" t="n">
        <f aca="false">AG27/0.5</f>
        <v>3.93699945236493</v>
      </c>
      <c r="AJ27" s="0" t="n">
        <f aca="false">AG27/0.4</f>
        <v>4.92124931545616</v>
      </c>
      <c r="AK27" s="0" t="n">
        <f aca="false">1-AG27/IF(GST_INCL=1,PRICE/(1+GST_RATE),PRICE)</f>
        <v>0.0157501369087673</v>
      </c>
      <c r="AL27" s="0" t="n">
        <v>1.472666</v>
      </c>
      <c r="AM27" s="0" t="n">
        <f aca="false">AE27-AL27</f>
        <v>3.92849132113682E-007</v>
      </c>
    </row>
    <row r="28" customFormat="false" ht="15" hidden="false" customHeight="false" outlineLevel="0" collapsed="false">
      <c r="A28" s="0" t="s">
        <v>251</v>
      </c>
      <c r="B28" s="0" t="s">
        <v>252</v>
      </c>
      <c r="C28" s="0" t="n">
        <v>5</v>
      </c>
      <c r="D28" s="0" t="s">
        <v>242</v>
      </c>
      <c r="E28" s="0" t="n">
        <v>8.75E-005</v>
      </c>
      <c r="F28" s="0" t="n">
        <v>0</v>
      </c>
      <c r="G28" s="0" t="n">
        <v>14.6</v>
      </c>
      <c r="H28" s="0" t="n">
        <v>2.1E-005</v>
      </c>
      <c r="I28" s="0" t="n">
        <v>0</v>
      </c>
      <c r="J28" s="0" t="n">
        <v>0.15</v>
      </c>
      <c r="K28" s="0" t="n">
        <v>0.075</v>
      </c>
      <c r="L28" s="0" t="n">
        <v>0.6</v>
      </c>
      <c r="M28" s="0" t="n">
        <v>0.851</v>
      </c>
      <c r="N28" s="0" t="n">
        <v>1920</v>
      </c>
      <c r="O28" s="0" t="n">
        <v>40.3</v>
      </c>
      <c r="P28" s="0" t="n">
        <v>1.793</v>
      </c>
      <c r="Q28" s="0" t="n">
        <v>66.7</v>
      </c>
      <c r="R28" s="0" t="n">
        <v>1.266</v>
      </c>
      <c r="S28" s="0" t="n">
        <v>0</v>
      </c>
      <c r="T28" s="0" t="n">
        <v>0.00037796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f aca="false">IF(D28="full",60,IF(D28="gated",CALLER_S*GR,0))*(E28*FX+F28)+EXCH*G28*H28*FX+I28</f>
        <v>0.382242</v>
      </c>
      <c r="AB28" s="0" t="n">
        <f aca="false">EXCH*R28*((N28+S28+O28*(MAX(EXCH*C28,1)-1)/2)*P28*((1-M28)*J28+M28*K28)+Q28*L28)/1000000*FX</f>
        <v>0.247398097512226</v>
      </c>
      <c r="AC28" s="0" t="n">
        <f aca="false">(AGENT_S+V28*EXCH)*(T28*FX+U28)+EXCH*W28*X28*FX+Y28</f>
        <v>0.8617488</v>
      </c>
      <c r="AD28" s="0" t="n">
        <f aca="false">IF(Z28=1,((214*C28+S28+1000)*0.44+400*1.76)/1000000*FX/C28,0)</f>
        <v>0</v>
      </c>
      <c r="AE28" s="0" t="n">
        <f aca="false">AA28+AB28+AC28+AD28</f>
        <v>1.49138889751223</v>
      </c>
      <c r="AF28" s="0" t="n">
        <f aca="false">TEL*(C28+0.25)/C28</f>
        <v>0.4515</v>
      </c>
      <c r="AG28" s="0" t="n">
        <f aca="false">AE28+AF28+INFRA</f>
        <v>1.97288889751223</v>
      </c>
      <c r="AH28" s="0" t="n">
        <f aca="false">AG28/0.6</f>
        <v>3.28814816252038</v>
      </c>
      <c r="AI28" s="0" t="n">
        <f aca="false">AG28/0.5</f>
        <v>3.94577779502445</v>
      </c>
      <c r="AJ28" s="0" t="n">
        <f aca="false">AG28/0.4</f>
        <v>4.93222224378057</v>
      </c>
      <c r="AK28" s="0" t="n">
        <f aca="false">1-AG28/IF(GST_INCL=1,PRICE/(1+GST_RATE),PRICE)</f>
        <v>0.0135555512438867</v>
      </c>
      <c r="AL28" s="0" t="n">
        <v>1.491389</v>
      </c>
      <c r="AM28" s="0" t="n">
        <f aca="false">AE28-AL28</f>
        <v>-1.02487773601112E-007</v>
      </c>
    </row>
    <row r="29" customFormat="false" ht="15" hidden="false" customHeight="false" outlineLevel="0" collapsed="false">
      <c r="A29" s="0" t="s">
        <v>251</v>
      </c>
      <c r="B29" s="0" t="s">
        <v>252</v>
      </c>
      <c r="C29" s="0" t="n">
        <v>10</v>
      </c>
      <c r="D29" s="0" t="s">
        <v>242</v>
      </c>
      <c r="E29" s="0" t="n">
        <v>8.75E-005</v>
      </c>
      <c r="F29" s="0" t="n">
        <v>0</v>
      </c>
      <c r="G29" s="0" t="n">
        <v>14.6</v>
      </c>
      <c r="H29" s="0" t="n">
        <v>2.1E-005</v>
      </c>
      <c r="I29" s="0" t="n">
        <v>0</v>
      </c>
      <c r="J29" s="0" t="n">
        <v>0.15</v>
      </c>
      <c r="K29" s="0" t="n">
        <v>0.075</v>
      </c>
      <c r="L29" s="0" t="n">
        <v>0.6</v>
      </c>
      <c r="M29" s="0" t="n">
        <v>0.851</v>
      </c>
      <c r="N29" s="0" t="n">
        <v>1920</v>
      </c>
      <c r="O29" s="0" t="n">
        <v>40.3</v>
      </c>
      <c r="P29" s="0" t="n">
        <v>1.793</v>
      </c>
      <c r="Q29" s="0" t="n">
        <v>66.7</v>
      </c>
      <c r="R29" s="0" t="n">
        <v>1.266</v>
      </c>
      <c r="S29" s="0" t="n">
        <v>0</v>
      </c>
      <c r="T29" s="0" t="n">
        <v>0.00037796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f aca="false">IF(D29="full",60,IF(D29="gated",CALLER_S*GR,0))*(E29*FX+F29)+EXCH*G29*H29*FX+I29</f>
        <v>0.382242</v>
      </c>
      <c r="AB29" s="0" t="n">
        <f aca="false">EXCH*R29*((N29+S29+O29*(MAX(EXCH*C29,1)-1)/2)*P29*((1-M29)*J29+M29*K29)+Q29*L29)/1000000*FX</f>
        <v>0.294204359169962</v>
      </c>
      <c r="AC29" s="0" t="n">
        <f aca="false">(AGENT_S+V29*EXCH)*(T29*FX+U29)+EXCH*W29*X29*FX+Y29</f>
        <v>0.8617488</v>
      </c>
      <c r="AD29" s="0" t="n">
        <f aca="false">IF(Z29=1,((214*C29+S29+1000)*0.44+400*1.76)/1000000*FX/C29,0)</f>
        <v>0</v>
      </c>
      <c r="AE29" s="0" t="n">
        <f aca="false">AA29+AB29+AC29+AD29</f>
        <v>1.53819515916996</v>
      </c>
      <c r="AF29" s="0" t="n">
        <f aca="false">TEL*(C29+0.25)/C29</f>
        <v>0.44075</v>
      </c>
      <c r="AG29" s="0" t="n">
        <f aca="false">AE29+AF29+INFRA</f>
        <v>2.00894515916996</v>
      </c>
      <c r="AH29" s="0" t="n">
        <f aca="false">AG29/0.6</f>
        <v>3.34824193194994</v>
      </c>
      <c r="AI29" s="0" t="n">
        <f aca="false">AG29/0.5</f>
        <v>4.01789031833993</v>
      </c>
      <c r="AJ29" s="0" t="n">
        <f aca="false">AG29/0.4</f>
        <v>5.02236289792491</v>
      </c>
      <c r="AK29" s="0" t="n">
        <f aca="false">1-AG29/IF(GST_INCL=1,PRICE/(1+GST_RATE),PRICE)</f>
        <v>-0.00447257958498115</v>
      </c>
      <c r="AL29" s="0" t="n">
        <v>1.538195</v>
      </c>
      <c r="AM29" s="0" t="n">
        <f aca="false">AE29-AL29</f>
        <v>1.5916996232157E-007</v>
      </c>
    </row>
    <row r="30" customFormat="false" ht="15" hidden="false" customHeight="false" outlineLevel="0" collapsed="false">
      <c r="A30" s="0" t="s">
        <v>253</v>
      </c>
      <c r="B30" s="0" t="s">
        <v>254</v>
      </c>
      <c r="C30" s="0" t="n">
        <v>1</v>
      </c>
      <c r="D30" s="0" t="s">
        <v>239</v>
      </c>
      <c r="E30" s="0" t="n">
        <v>8.75E-005</v>
      </c>
      <c r="F30" s="0" t="n">
        <v>0</v>
      </c>
      <c r="G30" s="0" t="n">
        <v>14.6</v>
      </c>
      <c r="H30" s="0" t="n">
        <v>2.1E-005</v>
      </c>
      <c r="I30" s="0" t="n">
        <v>0</v>
      </c>
      <c r="J30" s="0" t="n">
        <v>0.3</v>
      </c>
      <c r="K30" s="0" t="n">
        <v>0.03</v>
      </c>
      <c r="L30" s="0" t="n">
        <v>2.5</v>
      </c>
      <c r="M30" s="0" t="n">
        <v>0</v>
      </c>
      <c r="N30" s="0" t="n">
        <v>1788</v>
      </c>
      <c r="O30" s="0" t="n">
        <v>37.3</v>
      </c>
      <c r="P30" s="0" t="n">
        <v>1.78</v>
      </c>
      <c r="Q30" s="0" t="n">
        <v>22.6</v>
      </c>
      <c r="R30" s="0" t="n">
        <v>1</v>
      </c>
      <c r="S30" s="0" t="n">
        <v>0</v>
      </c>
      <c r="T30" s="0" t="n">
        <v>0.00015045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f aca="false">IF(D30="full",60,IF(D30="gated",CALLER_S*GR,0))*(E30*FX+F30)+EXCH*G30*H30*FX+I30</f>
        <v>0.644385</v>
      </c>
      <c r="AB30" s="0" t="n">
        <f aca="false">EXCH*R30*((N30+S30+O30*(MAX(EXCH*C30,1)-1)/2)*P30*((1-M30)*J30+M30*K30)+Q30*L30)/1000000*FX</f>
        <v>0.49928599</v>
      </c>
      <c r="AC30" s="0" t="n">
        <f aca="false">(AGENT_S+V30*EXCH)*(T30*FX+U30)+EXCH*W30*X30*FX+Y30</f>
        <v>0.343026</v>
      </c>
      <c r="AD30" s="0" t="n">
        <f aca="false">IF(Z30=1,((214*C30+S30+1000)*0.44+400*1.76)/1000000*FX/C30,0)</f>
        <v>0</v>
      </c>
      <c r="AE30" s="0" t="n">
        <f aca="false">AA30+AB30+AC30+AD30</f>
        <v>1.48669699</v>
      </c>
      <c r="AF30" s="0" t="n">
        <f aca="false">TEL*(C30+0.25)/C30</f>
        <v>0.5375</v>
      </c>
      <c r="AG30" s="0" t="n">
        <f aca="false">AE30+AF30+INFRA</f>
        <v>2.05419699</v>
      </c>
      <c r="AH30" s="0" t="n">
        <f aca="false">AG30/0.6</f>
        <v>3.42366165</v>
      </c>
      <c r="AI30" s="0" t="n">
        <f aca="false">AG30/0.5</f>
        <v>4.10839398</v>
      </c>
      <c r="AJ30" s="0" t="n">
        <f aca="false">AG30/0.4</f>
        <v>5.135492475</v>
      </c>
      <c r="AK30" s="0" t="n">
        <f aca="false">1-AG30/IF(GST_INCL=1,PRICE/(1+GST_RATE),PRICE)</f>
        <v>-0.0270984949999999</v>
      </c>
      <c r="AL30" s="0" t="n">
        <v>1.486697</v>
      </c>
      <c r="AM30" s="0" t="n">
        <f aca="false">AE30-AL30</f>
        <v>-9.99999993922529E-009</v>
      </c>
    </row>
    <row r="31" customFormat="false" ht="15" hidden="false" customHeight="false" outlineLevel="0" collapsed="false">
      <c r="A31" s="0" t="s">
        <v>253</v>
      </c>
      <c r="B31" s="0" t="s">
        <v>254</v>
      </c>
      <c r="C31" s="0" t="n">
        <v>3</v>
      </c>
      <c r="D31" s="0" t="s">
        <v>239</v>
      </c>
      <c r="E31" s="0" t="n">
        <v>8.75E-005</v>
      </c>
      <c r="F31" s="0" t="n">
        <v>0</v>
      </c>
      <c r="G31" s="0" t="n">
        <v>14.6</v>
      </c>
      <c r="H31" s="0" t="n">
        <v>2.1E-005</v>
      </c>
      <c r="I31" s="0" t="n">
        <v>0</v>
      </c>
      <c r="J31" s="0" t="n">
        <v>0.3</v>
      </c>
      <c r="K31" s="0" t="n">
        <v>0.03</v>
      </c>
      <c r="L31" s="0" t="n">
        <v>2.5</v>
      </c>
      <c r="M31" s="0" t="n">
        <v>0</v>
      </c>
      <c r="N31" s="0" t="n">
        <v>1788</v>
      </c>
      <c r="O31" s="0" t="n">
        <v>37.3</v>
      </c>
      <c r="P31" s="0" t="n">
        <v>1.78</v>
      </c>
      <c r="Q31" s="0" t="n">
        <v>22.6</v>
      </c>
      <c r="R31" s="0" t="n">
        <v>1</v>
      </c>
      <c r="S31" s="0" t="n">
        <v>0</v>
      </c>
      <c r="T31" s="0" t="n">
        <v>0.00015045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f aca="false">IF(D31="full",60,IF(D31="gated",CALLER_S*GR,0))*(E31*FX+F31)+EXCH*G31*H31*FX+I31</f>
        <v>0.644385</v>
      </c>
      <c r="AB31" s="0" t="n">
        <f aca="false">EXCH*R31*((N31+S31+O31*(MAX(EXCH*C31,1)-1)/2)*P31*((1-M31)*J31+M31*K31)+Q31*L31)/1000000*FX</f>
        <v>0.546591715</v>
      </c>
      <c r="AC31" s="0" t="n">
        <f aca="false">(AGENT_S+V31*EXCH)*(T31*FX+U31)+EXCH*W31*X31*FX+Y31</f>
        <v>0.343026</v>
      </c>
      <c r="AD31" s="0" t="n">
        <f aca="false">IF(Z31=1,((214*C31+S31+1000)*0.44+400*1.76)/1000000*FX/C31,0)</f>
        <v>0</v>
      </c>
      <c r="AE31" s="0" t="n">
        <f aca="false">AA31+AB31+AC31+AD31</f>
        <v>1.534002715</v>
      </c>
      <c r="AF31" s="0" t="n">
        <f aca="false">TEL*(C31+0.25)/C31</f>
        <v>0.465833333333333</v>
      </c>
      <c r="AG31" s="0" t="n">
        <f aca="false">AE31+AF31+INFRA</f>
        <v>2.02983604833333</v>
      </c>
      <c r="AH31" s="0" t="n">
        <f aca="false">AG31/0.6</f>
        <v>3.38306008055556</v>
      </c>
      <c r="AI31" s="0" t="n">
        <f aca="false">AG31/0.5</f>
        <v>4.05967209666667</v>
      </c>
      <c r="AJ31" s="0" t="n">
        <f aca="false">AG31/0.4</f>
        <v>5.07459012083333</v>
      </c>
      <c r="AK31" s="0" t="n">
        <f aca="false">1-AG31/IF(GST_INCL=1,PRICE/(1+GST_RATE),PRICE)</f>
        <v>-0.0149180241666667</v>
      </c>
      <c r="AL31" s="0" t="n">
        <v>1.534003</v>
      </c>
      <c r="AM31" s="0" t="n">
        <f aca="false">AE31-AL31</f>
        <v>-2.84999999822233E-007</v>
      </c>
    </row>
    <row r="32" customFormat="false" ht="15" hidden="false" customHeight="false" outlineLevel="0" collapsed="false">
      <c r="A32" s="0" t="s">
        <v>253</v>
      </c>
      <c r="B32" s="0" t="s">
        <v>254</v>
      </c>
      <c r="C32" s="0" t="n">
        <v>5</v>
      </c>
      <c r="D32" s="0" t="s">
        <v>239</v>
      </c>
      <c r="E32" s="0" t="n">
        <v>8.75E-005</v>
      </c>
      <c r="F32" s="0" t="n">
        <v>0</v>
      </c>
      <c r="G32" s="0" t="n">
        <v>14.6</v>
      </c>
      <c r="H32" s="0" t="n">
        <v>2.1E-005</v>
      </c>
      <c r="I32" s="0" t="n">
        <v>0</v>
      </c>
      <c r="J32" s="0" t="n">
        <v>0.3</v>
      </c>
      <c r="K32" s="0" t="n">
        <v>0.03</v>
      </c>
      <c r="L32" s="0" t="n">
        <v>2.5</v>
      </c>
      <c r="M32" s="0" t="n">
        <v>0</v>
      </c>
      <c r="N32" s="0" t="n">
        <v>1788</v>
      </c>
      <c r="O32" s="0" t="n">
        <v>37.3</v>
      </c>
      <c r="P32" s="0" t="n">
        <v>1.78</v>
      </c>
      <c r="Q32" s="0" t="n">
        <v>22.6</v>
      </c>
      <c r="R32" s="0" t="n">
        <v>1</v>
      </c>
      <c r="S32" s="0" t="n">
        <v>0</v>
      </c>
      <c r="T32" s="0" t="n">
        <v>0.00015045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f aca="false">IF(D32="full",60,IF(D32="gated",CALLER_S*GR,0))*(E32*FX+F32)+EXCH*G32*H32*FX+I32</f>
        <v>0.644385</v>
      </c>
      <c r="AB32" s="0" t="n">
        <f aca="false">EXCH*R32*((N32+S32+O32*(MAX(EXCH*C32,1)-1)/2)*P32*((1-M32)*J32+M32*K32)+Q32*L32)/1000000*FX</f>
        <v>0.59389744</v>
      </c>
      <c r="AC32" s="0" t="n">
        <f aca="false">(AGENT_S+V32*EXCH)*(T32*FX+U32)+EXCH*W32*X32*FX+Y32</f>
        <v>0.343026</v>
      </c>
      <c r="AD32" s="0" t="n">
        <f aca="false">IF(Z32=1,((214*C32+S32+1000)*0.44+400*1.76)/1000000*FX/C32,0)</f>
        <v>0</v>
      </c>
      <c r="AE32" s="0" t="n">
        <f aca="false">AA32+AB32+AC32+AD32</f>
        <v>1.58130844</v>
      </c>
      <c r="AF32" s="0" t="n">
        <f aca="false">TEL*(C32+0.25)/C32</f>
        <v>0.4515</v>
      </c>
      <c r="AG32" s="0" t="n">
        <f aca="false">AE32+AF32+INFRA</f>
        <v>2.06280844</v>
      </c>
      <c r="AH32" s="0" t="n">
        <f aca="false">AG32/0.6</f>
        <v>3.43801406666667</v>
      </c>
      <c r="AI32" s="0" t="n">
        <f aca="false">AG32/0.5</f>
        <v>4.12561688</v>
      </c>
      <c r="AJ32" s="0" t="n">
        <f aca="false">AG32/0.4</f>
        <v>5.1570211</v>
      </c>
      <c r="AK32" s="0" t="n">
        <f aca="false">1-AG32/IF(GST_INCL=1,PRICE/(1+GST_RATE),PRICE)</f>
        <v>-0.0314042199999998</v>
      </c>
      <c r="AL32" s="0" t="n">
        <v>1.581308</v>
      </c>
      <c r="AM32" s="0" t="n">
        <f aca="false">AE32-AL32</f>
        <v>4.39999999990448E-007</v>
      </c>
    </row>
    <row r="33" customFormat="false" ht="15" hidden="false" customHeight="false" outlineLevel="0" collapsed="false">
      <c r="A33" s="0" t="s">
        <v>253</v>
      </c>
      <c r="B33" s="0" t="s">
        <v>254</v>
      </c>
      <c r="C33" s="0" t="n">
        <v>10</v>
      </c>
      <c r="D33" s="0" t="s">
        <v>239</v>
      </c>
      <c r="E33" s="0" t="n">
        <v>8.75E-005</v>
      </c>
      <c r="F33" s="0" t="n">
        <v>0</v>
      </c>
      <c r="G33" s="0" t="n">
        <v>14.6</v>
      </c>
      <c r="H33" s="0" t="n">
        <v>2.1E-005</v>
      </c>
      <c r="I33" s="0" t="n">
        <v>0</v>
      </c>
      <c r="J33" s="0" t="n">
        <v>0.3</v>
      </c>
      <c r="K33" s="0" t="n">
        <v>0.03</v>
      </c>
      <c r="L33" s="0" t="n">
        <v>2.5</v>
      </c>
      <c r="M33" s="0" t="n">
        <v>0</v>
      </c>
      <c r="N33" s="0" t="n">
        <v>1788</v>
      </c>
      <c r="O33" s="0" t="n">
        <v>37.3</v>
      </c>
      <c r="P33" s="0" t="n">
        <v>1.78</v>
      </c>
      <c r="Q33" s="0" t="n">
        <v>22.6</v>
      </c>
      <c r="R33" s="0" t="n">
        <v>1</v>
      </c>
      <c r="S33" s="0" t="n">
        <v>0</v>
      </c>
      <c r="T33" s="0" t="n">
        <v>0.00015045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f aca="false">IF(D33="full",60,IF(D33="gated",CALLER_S*GR,0))*(E33*FX+F33)+EXCH*G33*H33*FX+I33</f>
        <v>0.644385</v>
      </c>
      <c r="AB33" s="0" t="n">
        <f aca="false">EXCH*R33*((N33+S33+O33*(MAX(EXCH*C33,1)-1)/2)*P33*((1-M33)*J33+M33*K33)+Q33*L33)/1000000*FX</f>
        <v>0.7121617525</v>
      </c>
      <c r="AC33" s="0" t="n">
        <f aca="false">(AGENT_S+V33*EXCH)*(T33*FX+U33)+EXCH*W33*X33*FX+Y33</f>
        <v>0.343026</v>
      </c>
      <c r="AD33" s="0" t="n">
        <f aca="false">IF(Z33=1,((214*C33+S33+1000)*0.44+400*1.76)/1000000*FX/C33,0)</f>
        <v>0</v>
      </c>
      <c r="AE33" s="0" t="n">
        <f aca="false">AA33+AB33+AC33+AD33</f>
        <v>1.6995727525</v>
      </c>
      <c r="AF33" s="0" t="n">
        <f aca="false">TEL*(C33+0.25)/C33</f>
        <v>0.44075</v>
      </c>
      <c r="AG33" s="0" t="n">
        <f aca="false">AE33+AF33+INFRA</f>
        <v>2.1703227525</v>
      </c>
      <c r="AH33" s="0" t="n">
        <f aca="false">AG33/0.6</f>
        <v>3.6172045875</v>
      </c>
      <c r="AI33" s="0" t="n">
        <f aca="false">AG33/0.5</f>
        <v>4.340645505</v>
      </c>
      <c r="AJ33" s="0" t="n">
        <f aca="false">AG33/0.4</f>
        <v>5.42580688125</v>
      </c>
      <c r="AK33" s="0" t="n">
        <f aca="false">1-AG33/IF(GST_INCL=1,PRICE/(1+GST_RATE),PRICE)</f>
        <v>-0.0851613762499999</v>
      </c>
      <c r="AL33" s="0" t="n">
        <v>1.699573</v>
      </c>
      <c r="AM33" s="0" t="n">
        <f aca="false">AE33-AL33</f>
        <v>-2.47500000050138E-007</v>
      </c>
    </row>
    <row r="34" customFormat="false" ht="15" hidden="false" customHeight="false" outlineLevel="0" collapsed="false">
      <c r="A34" s="0" t="s">
        <v>255</v>
      </c>
      <c r="B34" s="0" t="s">
        <v>256</v>
      </c>
      <c r="C34" s="0" t="n">
        <v>1</v>
      </c>
      <c r="D34" s="0" t="s">
        <v>239</v>
      </c>
      <c r="E34" s="0" t="n">
        <v>8.75E-005</v>
      </c>
      <c r="F34" s="0" t="n">
        <v>0</v>
      </c>
      <c r="G34" s="0" t="n">
        <v>14.6</v>
      </c>
      <c r="H34" s="0" t="n">
        <v>2.1E-005</v>
      </c>
      <c r="I34" s="0" t="n">
        <v>0</v>
      </c>
      <c r="J34" s="0" t="n">
        <v>0.3</v>
      </c>
      <c r="K34" s="0" t="n">
        <v>0.03</v>
      </c>
      <c r="L34" s="0" t="n">
        <v>2.5</v>
      </c>
      <c r="M34" s="0" t="n">
        <v>0</v>
      </c>
      <c r="N34" s="0" t="n">
        <v>1788</v>
      </c>
      <c r="O34" s="0" t="n">
        <v>37.3</v>
      </c>
      <c r="P34" s="0" t="n">
        <v>1.78</v>
      </c>
      <c r="Q34" s="0" t="n">
        <v>22.6</v>
      </c>
      <c r="R34" s="0" t="n">
        <v>1</v>
      </c>
      <c r="S34" s="0" t="n">
        <v>0</v>
      </c>
      <c r="T34" s="0" t="n">
        <v>0.00015</v>
      </c>
      <c r="U34" s="0" t="n">
        <v>0</v>
      </c>
      <c r="V34" s="0" t="n">
        <v>0.25</v>
      </c>
      <c r="W34" s="0" t="n">
        <v>26</v>
      </c>
      <c r="X34" s="0" t="n">
        <v>5E-007</v>
      </c>
      <c r="Y34" s="0" t="n">
        <v>0</v>
      </c>
      <c r="Z34" s="0" t="n">
        <v>0</v>
      </c>
      <c r="AA34" s="0" t="n">
        <f aca="false">IF(D34="full",60,IF(D34="gated",CALLER_S*GR,0))*(E34*FX+F34)+EXCH*G34*H34*FX+I34</f>
        <v>0.644385</v>
      </c>
      <c r="AB34" s="0" t="n">
        <f aca="false">EXCH*R34*((N34+S34+O34*(MAX(EXCH*C34,1)-1)/2)*P34*((1-M34)*J34+M34*K34)+Q34*L34)/1000000*FX</f>
        <v>0.49928599</v>
      </c>
      <c r="AC34" s="0" t="n">
        <f aca="false">(AGENT_S+V34*EXCH)*(T34*FX+U34)+EXCH*W34*X34*FX+Y34</f>
        <v>0.3659875</v>
      </c>
      <c r="AD34" s="0" t="n">
        <f aca="false">IF(Z34=1,((214*C34+S34+1000)*0.44+400*1.76)/1000000*FX/C34,0)</f>
        <v>0</v>
      </c>
      <c r="AE34" s="0" t="n">
        <f aca="false">AA34+AB34+AC34+AD34</f>
        <v>1.50965849</v>
      </c>
      <c r="AF34" s="0" t="n">
        <f aca="false">TEL*(C34+0.25)/C34</f>
        <v>0.5375</v>
      </c>
      <c r="AG34" s="0" t="n">
        <f aca="false">AE34+AF34+INFRA</f>
        <v>2.07715849</v>
      </c>
      <c r="AH34" s="0" t="n">
        <f aca="false">AG34/0.6</f>
        <v>3.46193081666667</v>
      </c>
      <c r="AI34" s="0" t="n">
        <f aca="false">AG34/0.5</f>
        <v>4.15431698</v>
      </c>
      <c r="AJ34" s="0" t="n">
        <f aca="false">AG34/0.4</f>
        <v>5.192896225</v>
      </c>
      <c r="AK34" s="0" t="n">
        <f aca="false">1-AG34/IF(GST_INCL=1,PRICE/(1+GST_RATE),PRICE)</f>
        <v>-0.0385792449999998</v>
      </c>
      <c r="AL34" s="0" t="n">
        <v>1.509658</v>
      </c>
      <c r="AM34" s="0" t="n">
        <f aca="false">AE34-AL34</f>
        <v>4.89999999908619E-007</v>
      </c>
    </row>
    <row r="35" customFormat="false" ht="15" hidden="false" customHeight="false" outlineLevel="0" collapsed="false">
      <c r="A35" s="0" t="s">
        <v>255</v>
      </c>
      <c r="B35" s="0" t="s">
        <v>256</v>
      </c>
      <c r="C35" s="0" t="n">
        <v>3</v>
      </c>
      <c r="D35" s="0" t="s">
        <v>239</v>
      </c>
      <c r="E35" s="0" t="n">
        <v>8.75E-005</v>
      </c>
      <c r="F35" s="0" t="n">
        <v>0</v>
      </c>
      <c r="G35" s="0" t="n">
        <v>14.6</v>
      </c>
      <c r="H35" s="0" t="n">
        <v>2.1E-005</v>
      </c>
      <c r="I35" s="0" t="n">
        <v>0</v>
      </c>
      <c r="J35" s="0" t="n">
        <v>0.3</v>
      </c>
      <c r="K35" s="0" t="n">
        <v>0.03</v>
      </c>
      <c r="L35" s="0" t="n">
        <v>2.5</v>
      </c>
      <c r="M35" s="0" t="n">
        <v>0</v>
      </c>
      <c r="N35" s="0" t="n">
        <v>1788</v>
      </c>
      <c r="O35" s="0" t="n">
        <v>37.3</v>
      </c>
      <c r="P35" s="0" t="n">
        <v>1.78</v>
      </c>
      <c r="Q35" s="0" t="n">
        <v>22.6</v>
      </c>
      <c r="R35" s="0" t="n">
        <v>1</v>
      </c>
      <c r="S35" s="0" t="n">
        <v>0</v>
      </c>
      <c r="T35" s="0" t="n">
        <v>0.00015</v>
      </c>
      <c r="U35" s="0" t="n">
        <v>0</v>
      </c>
      <c r="V35" s="0" t="n">
        <v>0.25</v>
      </c>
      <c r="W35" s="0" t="n">
        <v>26</v>
      </c>
      <c r="X35" s="0" t="n">
        <v>5E-007</v>
      </c>
      <c r="Y35" s="0" t="n">
        <v>0</v>
      </c>
      <c r="Z35" s="0" t="n">
        <v>0</v>
      </c>
      <c r="AA35" s="0" t="n">
        <f aca="false">IF(D35="full",60,IF(D35="gated",CALLER_S*GR,0))*(E35*FX+F35)+EXCH*G35*H35*FX+I35</f>
        <v>0.644385</v>
      </c>
      <c r="AB35" s="0" t="n">
        <f aca="false">EXCH*R35*((N35+S35+O35*(MAX(EXCH*C35,1)-1)/2)*P35*((1-M35)*J35+M35*K35)+Q35*L35)/1000000*FX</f>
        <v>0.546591715</v>
      </c>
      <c r="AC35" s="0" t="n">
        <f aca="false">(AGENT_S+V35*EXCH)*(T35*FX+U35)+EXCH*W35*X35*FX+Y35</f>
        <v>0.3659875</v>
      </c>
      <c r="AD35" s="0" t="n">
        <f aca="false">IF(Z35=1,((214*C35+S35+1000)*0.44+400*1.76)/1000000*FX/C35,0)</f>
        <v>0</v>
      </c>
      <c r="AE35" s="0" t="n">
        <f aca="false">AA35+AB35+AC35+AD35</f>
        <v>1.556964215</v>
      </c>
      <c r="AF35" s="0" t="n">
        <f aca="false">TEL*(C35+0.25)/C35</f>
        <v>0.465833333333333</v>
      </c>
      <c r="AG35" s="0" t="n">
        <f aca="false">AE35+AF35+INFRA</f>
        <v>2.05279754833333</v>
      </c>
      <c r="AH35" s="0" t="n">
        <f aca="false">AG35/0.6</f>
        <v>3.42132924722222</v>
      </c>
      <c r="AI35" s="0" t="n">
        <f aca="false">AG35/0.5</f>
        <v>4.10559509666667</v>
      </c>
      <c r="AJ35" s="0" t="n">
        <f aca="false">AG35/0.4</f>
        <v>5.13199387083333</v>
      </c>
      <c r="AK35" s="0" t="n">
        <f aca="false">1-AG35/IF(GST_INCL=1,PRICE/(1+GST_RATE),PRICE)</f>
        <v>-0.0263987741666665</v>
      </c>
      <c r="AL35" s="0" t="n">
        <v>1.556964</v>
      </c>
      <c r="AM35" s="0" t="n">
        <f aca="false">AE35-AL35</f>
        <v>2.15000000025611E-007</v>
      </c>
    </row>
    <row r="36" customFormat="false" ht="15" hidden="false" customHeight="false" outlineLevel="0" collapsed="false">
      <c r="A36" s="0" t="s">
        <v>255</v>
      </c>
      <c r="B36" s="0" t="s">
        <v>256</v>
      </c>
      <c r="C36" s="0" t="n">
        <v>5</v>
      </c>
      <c r="D36" s="0" t="s">
        <v>239</v>
      </c>
      <c r="E36" s="0" t="n">
        <v>8.75E-005</v>
      </c>
      <c r="F36" s="0" t="n">
        <v>0</v>
      </c>
      <c r="G36" s="0" t="n">
        <v>14.6</v>
      </c>
      <c r="H36" s="0" t="n">
        <v>2.1E-005</v>
      </c>
      <c r="I36" s="0" t="n">
        <v>0</v>
      </c>
      <c r="J36" s="0" t="n">
        <v>0.3</v>
      </c>
      <c r="K36" s="0" t="n">
        <v>0.03</v>
      </c>
      <c r="L36" s="0" t="n">
        <v>2.5</v>
      </c>
      <c r="M36" s="0" t="n">
        <v>0</v>
      </c>
      <c r="N36" s="0" t="n">
        <v>1788</v>
      </c>
      <c r="O36" s="0" t="n">
        <v>37.3</v>
      </c>
      <c r="P36" s="0" t="n">
        <v>1.78</v>
      </c>
      <c r="Q36" s="0" t="n">
        <v>22.6</v>
      </c>
      <c r="R36" s="0" t="n">
        <v>1</v>
      </c>
      <c r="S36" s="0" t="n">
        <v>0</v>
      </c>
      <c r="T36" s="0" t="n">
        <v>0.00015</v>
      </c>
      <c r="U36" s="0" t="n">
        <v>0</v>
      </c>
      <c r="V36" s="0" t="n">
        <v>0.25</v>
      </c>
      <c r="W36" s="0" t="n">
        <v>26</v>
      </c>
      <c r="X36" s="0" t="n">
        <v>5E-007</v>
      </c>
      <c r="Y36" s="0" t="n">
        <v>0</v>
      </c>
      <c r="Z36" s="0" t="n">
        <v>0</v>
      </c>
      <c r="AA36" s="0" t="n">
        <f aca="false">IF(D36="full",60,IF(D36="gated",CALLER_S*GR,0))*(E36*FX+F36)+EXCH*G36*H36*FX+I36</f>
        <v>0.644385</v>
      </c>
      <c r="AB36" s="0" t="n">
        <f aca="false">EXCH*R36*((N36+S36+O36*(MAX(EXCH*C36,1)-1)/2)*P36*((1-M36)*J36+M36*K36)+Q36*L36)/1000000*FX</f>
        <v>0.59389744</v>
      </c>
      <c r="AC36" s="0" t="n">
        <f aca="false">(AGENT_S+V36*EXCH)*(T36*FX+U36)+EXCH*W36*X36*FX+Y36</f>
        <v>0.3659875</v>
      </c>
      <c r="AD36" s="0" t="n">
        <f aca="false">IF(Z36=1,((214*C36+S36+1000)*0.44+400*1.76)/1000000*FX/C36,0)</f>
        <v>0</v>
      </c>
      <c r="AE36" s="0" t="n">
        <f aca="false">AA36+AB36+AC36+AD36</f>
        <v>1.60426994</v>
      </c>
      <c r="AF36" s="0" t="n">
        <f aca="false">TEL*(C36+0.25)/C36</f>
        <v>0.4515</v>
      </c>
      <c r="AG36" s="0" t="n">
        <f aca="false">AE36+AF36+INFRA</f>
        <v>2.08576994</v>
      </c>
      <c r="AH36" s="0" t="n">
        <f aca="false">AG36/0.6</f>
        <v>3.47628323333333</v>
      </c>
      <c r="AI36" s="0" t="n">
        <f aca="false">AG36/0.5</f>
        <v>4.17153988</v>
      </c>
      <c r="AJ36" s="0" t="n">
        <f aca="false">AG36/0.4</f>
        <v>5.21442485</v>
      </c>
      <c r="AK36" s="0" t="n">
        <f aca="false">1-AG36/IF(GST_INCL=1,PRICE/(1+GST_RATE),PRICE)</f>
        <v>-0.0428849699999998</v>
      </c>
      <c r="AL36" s="0" t="n">
        <v>1.60427</v>
      </c>
      <c r="AM36" s="0" t="n">
        <f aca="false">AE36-AL36</f>
        <v>-6.00000003014856E-008</v>
      </c>
    </row>
    <row r="37" customFormat="false" ht="15" hidden="false" customHeight="false" outlineLevel="0" collapsed="false">
      <c r="A37" s="0" t="s">
        <v>255</v>
      </c>
      <c r="B37" s="0" t="s">
        <v>256</v>
      </c>
      <c r="C37" s="0" t="n">
        <v>10</v>
      </c>
      <c r="D37" s="0" t="s">
        <v>239</v>
      </c>
      <c r="E37" s="0" t="n">
        <v>8.75E-005</v>
      </c>
      <c r="F37" s="0" t="n">
        <v>0</v>
      </c>
      <c r="G37" s="0" t="n">
        <v>14.6</v>
      </c>
      <c r="H37" s="0" t="n">
        <v>2.1E-005</v>
      </c>
      <c r="I37" s="0" t="n">
        <v>0</v>
      </c>
      <c r="J37" s="0" t="n">
        <v>0.3</v>
      </c>
      <c r="K37" s="0" t="n">
        <v>0.03</v>
      </c>
      <c r="L37" s="0" t="n">
        <v>2.5</v>
      </c>
      <c r="M37" s="0" t="n">
        <v>0</v>
      </c>
      <c r="N37" s="0" t="n">
        <v>1788</v>
      </c>
      <c r="O37" s="0" t="n">
        <v>37.3</v>
      </c>
      <c r="P37" s="0" t="n">
        <v>1.78</v>
      </c>
      <c r="Q37" s="0" t="n">
        <v>22.6</v>
      </c>
      <c r="R37" s="0" t="n">
        <v>1</v>
      </c>
      <c r="S37" s="0" t="n">
        <v>0</v>
      </c>
      <c r="T37" s="0" t="n">
        <v>0.00015</v>
      </c>
      <c r="U37" s="0" t="n">
        <v>0</v>
      </c>
      <c r="V37" s="0" t="n">
        <v>0.25</v>
      </c>
      <c r="W37" s="0" t="n">
        <v>26</v>
      </c>
      <c r="X37" s="0" t="n">
        <v>5E-007</v>
      </c>
      <c r="Y37" s="0" t="n">
        <v>0</v>
      </c>
      <c r="Z37" s="0" t="n">
        <v>0</v>
      </c>
      <c r="AA37" s="0" t="n">
        <f aca="false">IF(D37="full",60,IF(D37="gated",CALLER_S*GR,0))*(E37*FX+F37)+EXCH*G37*H37*FX+I37</f>
        <v>0.644385</v>
      </c>
      <c r="AB37" s="0" t="n">
        <f aca="false">EXCH*R37*((N37+S37+O37*(MAX(EXCH*C37,1)-1)/2)*P37*((1-M37)*J37+M37*K37)+Q37*L37)/1000000*FX</f>
        <v>0.7121617525</v>
      </c>
      <c r="AC37" s="0" t="n">
        <f aca="false">(AGENT_S+V37*EXCH)*(T37*FX+U37)+EXCH*W37*X37*FX+Y37</f>
        <v>0.3659875</v>
      </c>
      <c r="AD37" s="0" t="n">
        <f aca="false">IF(Z37=1,((214*C37+S37+1000)*0.44+400*1.76)/1000000*FX/C37,0)</f>
        <v>0</v>
      </c>
      <c r="AE37" s="0" t="n">
        <f aca="false">AA37+AB37+AC37+AD37</f>
        <v>1.7225342525</v>
      </c>
      <c r="AF37" s="0" t="n">
        <f aca="false">TEL*(C37+0.25)/C37</f>
        <v>0.44075</v>
      </c>
      <c r="AG37" s="0" t="n">
        <f aca="false">AE37+AF37+INFRA</f>
        <v>2.1932842525</v>
      </c>
      <c r="AH37" s="0" t="n">
        <f aca="false">AG37/0.6</f>
        <v>3.65547375416667</v>
      </c>
      <c r="AI37" s="0" t="n">
        <f aca="false">AG37/0.5</f>
        <v>4.386568505</v>
      </c>
      <c r="AJ37" s="0" t="n">
        <f aca="false">AG37/0.4</f>
        <v>5.48321063125</v>
      </c>
      <c r="AK37" s="0" t="n">
        <f aca="false">1-AG37/IF(GST_INCL=1,PRICE/(1+GST_RATE),PRICE)</f>
        <v>-0.0966421262499997</v>
      </c>
      <c r="AL37" s="0" t="n">
        <v>1.722534</v>
      </c>
      <c r="AM37" s="0" t="n">
        <f aca="false">AE37-AL37</f>
        <v>2.52499999797706E-007</v>
      </c>
    </row>
    <row r="38" customFormat="false" ht="15" hidden="false" customHeight="false" outlineLevel="0" collapsed="false">
      <c r="A38" s="0" t="s">
        <v>257</v>
      </c>
      <c r="B38" s="0" t="s">
        <v>256</v>
      </c>
      <c r="C38" s="0" t="n">
        <v>1</v>
      </c>
      <c r="D38" s="0" t="s">
        <v>239</v>
      </c>
      <c r="E38" s="0" t="n">
        <v>8.75E-005</v>
      </c>
      <c r="F38" s="0" t="n">
        <v>0</v>
      </c>
      <c r="G38" s="0" t="n">
        <v>14.6</v>
      </c>
      <c r="H38" s="0" t="n">
        <v>2.1E-005</v>
      </c>
      <c r="I38" s="0" t="n">
        <v>0</v>
      </c>
      <c r="J38" s="0" t="n">
        <v>0.3</v>
      </c>
      <c r="K38" s="0" t="n">
        <v>0.03</v>
      </c>
      <c r="L38" s="0" t="n">
        <v>2.5</v>
      </c>
      <c r="M38" s="0" t="n">
        <v>0</v>
      </c>
      <c r="N38" s="0" t="n">
        <v>1788</v>
      </c>
      <c r="O38" s="0" t="n">
        <v>37.3</v>
      </c>
      <c r="P38" s="0" t="n">
        <v>1.78</v>
      </c>
      <c r="Q38" s="0" t="n">
        <v>22.6</v>
      </c>
      <c r="R38" s="0" t="n">
        <v>1</v>
      </c>
      <c r="S38" s="0" t="n">
        <v>0</v>
      </c>
      <c r="T38" s="0" t="n">
        <v>0.0003</v>
      </c>
      <c r="U38" s="0" t="n">
        <v>0</v>
      </c>
      <c r="V38" s="0" t="n">
        <v>0.25</v>
      </c>
      <c r="W38" s="0" t="n">
        <v>26</v>
      </c>
      <c r="X38" s="0" t="n">
        <v>1E-006</v>
      </c>
      <c r="Y38" s="0" t="n">
        <v>0</v>
      </c>
      <c r="Z38" s="0" t="n">
        <v>0</v>
      </c>
      <c r="AA38" s="0" t="n">
        <f aca="false">IF(D38="full",60,IF(D38="gated",CALLER_S*GR,0))*(E38*FX+F38)+EXCH*G38*H38*FX+I38</f>
        <v>0.644385</v>
      </c>
      <c r="AB38" s="0" t="n">
        <f aca="false">EXCH*R38*((N38+S38+O38*(MAX(EXCH*C38,1)-1)/2)*P38*((1-M38)*J38+M38*K38)+Q38*L38)/1000000*FX</f>
        <v>0.49928599</v>
      </c>
      <c r="AC38" s="0" t="n">
        <f aca="false">(AGENT_S+V38*EXCH)*(T38*FX+U38)+EXCH*W38*X38*FX+Y38</f>
        <v>0.731975</v>
      </c>
      <c r="AD38" s="0" t="n">
        <f aca="false">IF(Z38=1,((214*C38+S38+1000)*0.44+400*1.76)/1000000*FX/C38,0)</f>
        <v>0</v>
      </c>
      <c r="AE38" s="0" t="n">
        <f aca="false">AA38+AB38+AC38+AD38</f>
        <v>1.87564599</v>
      </c>
      <c r="AF38" s="0" t="n">
        <f aca="false">TEL*(C38+0.25)/C38</f>
        <v>0.5375</v>
      </c>
      <c r="AG38" s="0" t="n">
        <f aca="false">AE38+AF38+INFRA</f>
        <v>2.44314599</v>
      </c>
      <c r="AH38" s="0" t="n">
        <f aca="false">AG38/0.6</f>
        <v>4.07190998333333</v>
      </c>
      <c r="AI38" s="0" t="n">
        <f aca="false">AG38/0.5</f>
        <v>4.88629198</v>
      </c>
      <c r="AJ38" s="0" t="n">
        <f aca="false">AG38/0.4</f>
        <v>6.107864975</v>
      </c>
      <c r="AK38" s="0" t="n">
        <f aca="false">1-AG38/IF(GST_INCL=1,PRICE/(1+GST_RATE),PRICE)</f>
        <v>-0.221572995</v>
      </c>
      <c r="AL38" s="0" t="n">
        <v>1.875646</v>
      </c>
      <c r="AM38" s="0" t="n">
        <f aca="false">AE38-AL38</f>
        <v>-1.00000001612699E-008</v>
      </c>
    </row>
    <row r="39" customFormat="false" ht="15" hidden="false" customHeight="false" outlineLevel="0" collapsed="false">
      <c r="A39" s="0" t="s">
        <v>257</v>
      </c>
      <c r="B39" s="0" t="s">
        <v>256</v>
      </c>
      <c r="C39" s="0" t="n">
        <v>3</v>
      </c>
      <c r="D39" s="0" t="s">
        <v>239</v>
      </c>
      <c r="E39" s="0" t="n">
        <v>8.75E-005</v>
      </c>
      <c r="F39" s="0" t="n">
        <v>0</v>
      </c>
      <c r="G39" s="0" t="n">
        <v>14.6</v>
      </c>
      <c r="H39" s="0" t="n">
        <v>2.1E-005</v>
      </c>
      <c r="I39" s="0" t="n">
        <v>0</v>
      </c>
      <c r="J39" s="0" t="n">
        <v>0.3</v>
      </c>
      <c r="K39" s="0" t="n">
        <v>0.03</v>
      </c>
      <c r="L39" s="0" t="n">
        <v>2.5</v>
      </c>
      <c r="M39" s="0" t="n">
        <v>0</v>
      </c>
      <c r="N39" s="0" t="n">
        <v>1788</v>
      </c>
      <c r="O39" s="0" t="n">
        <v>37.3</v>
      </c>
      <c r="P39" s="0" t="n">
        <v>1.78</v>
      </c>
      <c r="Q39" s="0" t="n">
        <v>22.6</v>
      </c>
      <c r="R39" s="0" t="n">
        <v>1</v>
      </c>
      <c r="S39" s="0" t="n">
        <v>0</v>
      </c>
      <c r="T39" s="0" t="n">
        <v>0.0003</v>
      </c>
      <c r="U39" s="0" t="n">
        <v>0</v>
      </c>
      <c r="V39" s="0" t="n">
        <v>0.25</v>
      </c>
      <c r="W39" s="0" t="n">
        <v>26</v>
      </c>
      <c r="X39" s="0" t="n">
        <v>1E-006</v>
      </c>
      <c r="Y39" s="0" t="n">
        <v>0</v>
      </c>
      <c r="Z39" s="0" t="n">
        <v>0</v>
      </c>
      <c r="AA39" s="0" t="n">
        <f aca="false">IF(D39="full",60,IF(D39="gated",CALLER_S*GR,0))*(E39*FX+F39)+EXCH*G39*H39*FX+I39</f>
        <v>0.644385</v>
      </c>
      <c r="AB39" s="0" t="n">
        <f aca="false">EXCH*R39*((N39+S39+O39*(MAX(EXCH*C39,1)-1)/2)*P39*((1-M39)*J39+M39*K39)+Q39*L39)/1000000*FX</f>
        <v>0.546591715</v>
      </c>
      <c r="AC39" s="0" t="n">
        <f aca="false">(AGENT_S+V39*EXCH)*(T39*FX+U39)+EXCH*W39*X39*FX+Y39</f>
        <v>0.731975</v>
      </c>
      <c r="AD39" s="0" t="n">
        <f aca="false">IF(Z39=1,((214*C39+S39+1000)*0.44+400*1.76)/1000000*FX/C39,0)</f>
        <v>0</v>
      </c>
      <c r="AE39" s="0" t="n">
        <f aca="false">AA39+AB39+AC39+AD39</f>
        <v>1.922951715</v>
      </c>
      <c r="AF39" s="0" t="n">
        <f aca="false">TEL*(C39+0.25)/C39</f>
        <v>0.465833333333333</v>
      </c>
      <c r="AG39" s="0" t="n">
        <f aca="false">AE39+AF39+INFRA</f>
        <v>2.41878504833333</v>
      </c>
      <c r="AH39" s="0" t="n">
        <f aca="false">AG39/0.6</f>
        <v>4.03130841388889</v>
      </c>
      <c r="AI39" s="0" t="n">
        <f aca="false">AG39/0.5</f>
        <v>4.83757009666667</v>
      </c>
      <c r="AJ39" s="0" t="n">
        <f aca="false">AG39/0.4</f>
        <v>6.04696262083333</v>
      </c>
      <c r="AK39" s="0" t="n">
        <f aca="false">1-AG39/IF(GST_INCL=1,PRICE/(1+GST_RATE),PRICE)</f>
        <v>-0.209392524166667</v>
      </c>
      <c r="AL39" s="0" t="n">
        <v>1.922952</v>
      </c>
      <c r="AM39" s="0" t="n">
        <f aca="false">AE39-AL39</f>
        <v>-2.85000000044278E-007</v>
      </c>
    </row>
    <row r="40" customFormat="false" ht="15" hidden="false" customHeight="false" outlineLevel="0" collapsed="false">
      <c r="A40" s="0" t="s">
        <v>257</v>
      </c>
      <c r="B40" s="0" t="s">
        <v>256</v>
      </c>
      <c r="C40" s="0" t="n">
        <v>5</v>
      </c>
      <c r="D40" s="0" t="s">
        <v>239</v>
      </c>
      <c r="E40" s="0" t="n">
        <v>8.75E-005</v>
      </c>
      <c r="F40" s="0" t="n">
        <v>0</v>
      </c>
      <c r="G40" s="0" t="n">
        <v>14.6</v>
      </c>
      <c r="H40" s="0" t="n">
        <v>2.1E-005</v>
      </c>
      <c r="I40" s="0" t="n">
        <v>0</v>
      </c>
      <c r="J40" s="0" t="n">
        <v>0.3</v>
      </c>
      <c r="K40" s="0" t="n">
        <v>0.03</v>
      </c>
      <c r="L40" s="0" t="n">
        <v>2.5</v>
      </c>
      <c r="M40" s="0" t="n">
        <v>0</v>
      </c>
      <c r="N40" s="0" t="n">
        <v>1788</v>
      </c>
      <c r="O40" s="0" t="n">
        <v>37.3</v>
      </c>
      <c r="P40" s="0" t="n">
        <v>1.78</v>
      </c>
      <c r="Q40" s="0" t="n">
        <v>22.6</v>
      </c>
      <c r="R40" s="0" t="n">
        <v>1</v>
      </c>
      <c r="S40" s="0" t="n">
        <v>0</v>
      </c>
      <c r="T40" s="0" t="n">
        <v>0.0003</v>
      </c>
      <c r="U40" s="0" t="n">
        <v>0</v>
      </c>
      <c r="V40" s="0" t="n">
        <v>0.25</v>
      </c>
      <c r="W40" s="0" t="n">
        <v>26</v>
      </c>
      <c r="X40" s="0" t="n">
        <v>1E-006</v>
      </c>
      <c r="Y40" s="0" t="n">
        <v>0</v>
      </c>
      <c r="Z40" s="0" t="n">
        <v>0</v>
      </c>
      <c r="AA40" s="0" t="n">
        <f aca="false">IF(D40="full",60,IF(D40="gated",CALLER_S*GR,0))*(E40*FX+F40)+EXCH*G40*H40*FX+I40</f>
        <v>0.644385</v>
      </c>
      <c r="AB40" s="0" t="n">
        <f aca="false">EXCH*R40*((N40+S40+O40*(MAX(EXCH*C40,1)-1)/2)*P40*((1-M40)*J40+M40*K40)+Q40*L40)/1000000*FX</f>
        <v>0.59389744</v>
      </c>
      <c r="AC40" s="0" t="n">
        <f aca="false">(AGENT_S+V40*EXCH)*(T40*FX+U40)+EXCH*W40*X40*FX+Y40</f>
        <v>0.731975</v>
      </c>
      <c r="AD40" s="0" t="n">
        <f aca="false">IF(Z40=1,((214*C40+S40+1000)*0.44+400*1.76)/1000000*FX/C40,0)</f>
        <v>0</v>
      </c>
      <c r="AE40" s="0" t="n">
        <f aca="false">AA40+AB40+AC40+AD40</f>
        <v>1.97025744</v>
      </c>
      <c r="AF40" s="0" t="n">
        <f aca="false">TEL*(C40+0.25)/C40</f>
        <v>0.4515</v>
      </c>
      <c r="AG40" s="0" t="n">
        <f aca="false">AE40+AF40+INFRA</f>
        <v>2.45175744</v>
      </c>
      <c r="AH40" s="0" t="n">
        <f aca="false">AG40/0.6</f>
        <v>4.0862624</v>
      </c>
      <c r="AI40" s="0" t="n">
        <f aca="false">AG40/0.5</f>
        <v>4.90351488</v>
      </c>
      <c r="AJ40" s="0" t="n">
        <f aca="false">AG40/0.4</f>
        <v>6.1293936</v>
      </c>
      <c r="AK40" s="0" t="n">
        <f aca="false">1-AG40/IF(GST_INCL=1,PRICE/(1+GST_RATE),PRICE)</f>
        <v>-0.22587872</v>
      </c>
      <c r="AL40" s="0" t="n">
        <v>1.970257</v>
      </c>
      <c r="AM40" s="0" t="n">
        <f aca="false">AE40-AL40</f>
        <v>4.39999999768403E-007</v>
      </c>
    </row>
    <row r="41" customFormat="false" ht="15" hidden="false" customHeight="false" outlineLevel="0" collapsed="false">
      <c r="A41" s="0" t="s">
        <v>257</v>
      </c>
      <c r="B41" s="0" t="s">
        <v>256</v>
      </c>
      <c r="C41" s="0" t="n">
        <v>10</v>
      </c>
      <c r="D41" s="0" t="s">
        <v>239</v>
      </c>
      <c r="E41" s="0" t="n">
        <v>8.75E-005</v>
      </c>
      <c r="F41" s="0" t="n">
        <v>0</v>
      </c>
      <c r="G41" s="0" t="n">
        <v>14.6</v>
      </c>
      <c r="H41" s="0" t="n">
        <v>2.1E-005</v>
      </c>
      <c r="I41" s="0" t="n">
        <v>0</v>
      </c>
      <c r="J41" s="0" t="n">
        <v>0.3</v>
      </c>
      <c r="K41" s="0" t="n">
        <v>0.03</v>
      </c>
      <c r="L41" s="0" t="n">
        <v>2.5</v>
      </c>
      <c r="M41" s="0" t="n">
        <v>0</v>
      </c>
      <c r="N41" s="0" t="n">
        <v>1788</v>
      </c>
      <c r="O41" s="0" t="n">
        <v>37.3</v>
      </c>
      <c r="P41" s="0" t="n">
        <v>1.78</v>
      </c>
      <c r="Q41" s="0" t="n">
        <v>22.6</v>
      </c>
      <c r="R41" s="0" t="n">
        <v>1</v>
      </c>
      <c r="S41" s="0" t="n">
        <v>0</v>
      </c>
      <c r="T41" s="0" t="n">
        <v>0.0003</v>
      </c>
      <c r="U41" s="0" t="n">
        <v>0</v>
      </c>
      <c r="V41" s="0" t="n">
        <v>0.25</v>
      </c>
      <c r="W41" s="0" t="n">
        <v>26</v>
      </c>
      <c r="X41" s="0" t="n">
        <v>1E-006</v>
      </c>
      <c r="Y41" s="0" t="n">
        <v>0</v>
      </c>
      <c r="Z41" s="0" t="n">
        <v>0</v>
      </c>
      <c r="AA41" s="0" t="n">
        <f aca="false">IF(D41="full",60,IF(D41="gated",CALLER_S*GR,0))*(E41*FX+F41)+EXCH*G41*H41*FX+I41</f>
        <v>0.644385</v>
      </c>
      <c r="AB41" s="0" t="n">
        <f aca="false">EXCH*R41*((N41+S41+O41*(MAX(EXCH*C41,1)-1)/2)*P41*((1-M41)*J41+M41*K41)+Q41*L41)/1000000*FX</f>
        <v>0.7121617525</v>
      </c>
      <c r="AC41" s="0" t="n">
        <f aca="false">(AGENT_S+V41*EXCH)*(T41*FX+U41)+EXCH*W41*X41*FX+Y41</f>
        <v>0.731975</v>
      </c>
      <c r="AD41" s="0" t="n">
        <f aca="false">IF(Z41=1,((214*C41+S41+1000)*0.44+400*1.76)/1000000*FX/C41,0)</f>
        <v>0</v>
      </c>
      <c r="AE41" s="0" t="n">
        <f aca="false">AA41+AB41+AC41+AD41</f>
        <v>2.0885217525</v>
      </c>
      <c r="AF41" s="0" t="n">
        <f aca="false">TEL*(C41+0.25)/C41</f>
        <v>0.44075</v>
      </c>
      <c r="AG41" s="0" t="n">
        <f aca="false">AE41+AF41+INFRA</f>
        <v>2.5592717525</v>
      </c>
      <c r="AH41" s="0" t="n">
        <f aca="false">AG41/0.6</f>
        <v>4.26545292083333</v>
      </c>
      <c r="AI41" s="0" t="n">
        <f aca="false">AG41/0.5</f>
        <v>5.118543505</v>
      </c>
      <c r="AJ41" s="0" t="n">
        <f aca="false">AG41/0.4</f>
        <v>6.39817938125</v>
      </c>
      <c r="AK41" s="0" t="n">
        <f aca="false">1-AG41/IF(GST_INCL=1,PRICE/(1+GST_RATE),PRICE)</f>
        <v>-0.27963587625</v>
      </c>
      <c r="AL41" s="0" t="n">
        <v>2.088522</v>
      </c>
      <c r="AM41" s="0" t="n">
        <f aca="false">AE41-AL41</f>
        <v>-2.47500000494227E-007</v>
      </c>
    </row>
    <row r="42" customFormat="false" ht="15" hidden="false" customHeight="false" outlineLevel="0" collapsed="false">
      <c r="A42" s="0" t="s">
        <v>258</v>
      </c>
      <c r="B42" s="0" t="s">
        <v>259</v>
      </c>
      <c r="C42" s="0" t="n">
        <v>1</v>
      </c>
      <c r="D42" s="0" t="s">
        <v>242</v>
      </c>
      <c r="E42" s="0" t="n">
        <v>8.75E-005</v>
      </c>
      <c r="F42" s="0" t="n">
        <v>0</v>
      </c>
      <c r="G42" s="0" t="n">
        <v>14.6</v>
      </c>
      <c r="H42" s="0" t="n">
        <v>2.1E-005</v>
      </c>
      <c r="I42" s="0" t="n">
        <v>0</v>
      </c>
      <c r="J42" s="0" t="n">
        <v>0.15</v>
      </c>
      <c r="K42" s="0" t="n">
        <v>0.075</v>
      </c>
      <c r="L42" s="0" t="n">
        <v>0.6</v>
      </c>
      <c r="M42" s="0" t="n">
        <v>0.851</v>
      </c>
      <c r="N42" s="0" t="n">
        <v>1920</v>
      </c>
      <c r="O42" s="0" t="n">
        <v>40.3</v>
      </c>
      <c r="P42" s="0" t="n">
        <v>1.793</v>
      </c>
      <c r="Q42" s="0" t="n">
        <v>66.7</v>
      </c>
      <c r="R42" s="0" t="n">
        <v>1.266</v>
      </c>
      <c r="S42" s="0" t="n">
        <v>0</v>
      </c>
      <c r="T42" s="0" t="n">
        <v>0.00015</v>
      </c>
      <c r="U42" s="0" t="n">
        <v>0</v>
      </c>
      <c r="V42" s="0" t="n">
        <v>0.25</v>
      </c>
      <c r="W42" s="0" t="n">
        <v>26</v>
      </c>
      <c r="X42" s="0" t="n">
        <v>5E-007</v>
      </c>
      <c r="Y42" s="0" t="n">
        <v>0</v>
      </c>
      <c r="Z42" s="0" t="n">
        <v>0</v>
      </c>
      <c r="AA42" s="0" t="n">
        <f aca="false">IF(D42="full",60,IF(D42="gated",CALLER_S*GR,0))*(E42*FX+F42)+EXCH*G42*H42*FX+I42</f>
        <v>0.382242</v>
      </c>
      <c r="AB42" s="0" t="n">
        <f aca="false">EXCH*R42*((N42+S42+O42*(MAX(EXCH*C42,1)-1)/2)*P42*((1-M42)*J42+M42*K42)+Q42*L42)/1000000*FX</f>
        <v>0.209953088186038</v>
      </c>
      <c r="AC42" s="0" t="n">
        <f aca="false">(AGENT_S+V42*EXCH)*(T42*FX+U42)+EXCH*W42*X42*FX+Y42</f>
        <v>0.3659875</v>
      </c>
      <c r="AD42" s="0" t="n">
        <f aca="false">IF(Z42=1,((214*C42+S42+1000)*0.44+400*1.76)/1000000*FX/C42,0)</f>
        <v>0</v>
      </c>
      <c r="AE42" s="0" t="n">
        <f aca="false">AA42+AB42+AC42+AD42</f>
        <v>0.958182588186038</v>
      </c>
      <c r="AF42" s="0" t="n">
        <f aca="false">TEL*(C42+0.25)/C42</f>
        <v>0.5375</v>
      </c>
      <c r="AG42" s="0" t="n">
        <f aca="false">AE42+AF42+INFRA</f>
        <v>1.52568258818604</v>
      </c>
      <c r="AH42" s="0" t="n">
        <f aca="false">AG42/0.6</f>
        <v>2.5428043136434</v>
      </c>
      <c r="AI42" s="0" t="n">
        <f aca="false">AG42/0.5</f>
        <v>3.05136517637208</v>
      </c>
      <c r="AJ42" s="0" t="n">
        <f aca="false">AG42/0.4</f>
        <v>3.81420647046509</v>
      </c>
      <c r="AK42" s="0" t="n">
        <f aca="false">1-AG42/IF(GST_INCL=1,PRICE/(1+GST_RATE),PRICE)</f>
        <v>0.237158705906981</v>
      </c>
      <c r="AL42" s="0" t="n">
        <v>0.958183</v>
      </c>
      <c r="AM42" s="0" t="n">
        <f aca="false">AE42-AL42</f>
        <v>-4.11813962486463E-007</v>
      </c>
    </row>
    <row r="43" customFormat="false" ht="15" hidden="false" customHeight="false" outlineLevel="0" collapsed="false">
      <c r="A43" s="0" t="s">
        <v>258</v>
      </c>
      <c r="B43" s="0" t="s">
        <v>259</v>
      </c>
      <c r="C43" s="0" t="n">
        <v>3</v>
      </c>
      <c r="D43" s="0" t="s">
        <v>242</v>
      </c>
      <c r="E43" s="0" t="n">
        <v>8.75E-005</v>
      </c>
      <c r="F43" s="0" t="n">
        <v>0</v>
      </c>
      <c r="G43" s="0" t="n">
        <v>14.6</v>
      </c>
      <c r="H43" s="0" t="n">
        <v>2.1E-005</v>
      </c>
      <c r="I43" s="0" t="n">
        <v>0</v>
      </c>
      <c r="J43" s="0" t="n">
        <v>0.15</v>
      </c>
      <c r="K43" s="0" t="n">
        <v>0.075</v>
      </c>
      <c r="L43" s="0" t="n">
        <v>0.6</v>
      </c>
      <c r="M43" s="0" t="n">
        <v>0.851</v>
      </c>
      <c r="N43" s="0" t="n">
        <v>1920</v>
      </c>
      <c r="O43" s="0" t="n">
        <v>40.3</v>
      </c>
      <c r="P43" s="0" t="n">
        <v>1.793</v>
      </c>
      <c r="Q43" s="0" t="n">
        <v>66.7</v>
      </c>
      <c r="R43" s="0" t="n">
        <v>1.266</v>
      </c>
      <c r="S43" s="0" t="n">
        <v>0</v>
      </c>
      <c r="T43" s="0" t="n">
        <v>0.00015</v>
      </c>
      <c r="U43" s="0" t="n">
        <v>0</v>
      </c>
      <c r="V43" s="0" t="n">
        <v>0.25</v>
      </c>
      <c r="W43" s="0" t="n">
        <v>26</v>
      </c>
      <c r="X43" s="0" t="n">
        <v>5E-007</v>
      </c>
      <c r="Y43" s="0" t="n">
        <v>0</v>
      </c>
      <c r="Z43" s="0" t="n">
        <v>0</v>
      </c>
      <c r="AA43" s="0" t="n">
        <f aca="false">IF(D43="full",60,IF(D43="gated",CALLER_S*GR,0))*(E43*FX+F43)+EXCH*G43*H43*FX+I43</f>
        <v>0.382242</v>
      </c>
      <c r="AB43" s="0" t="n">
        <f aca="false">EXCH*R43*((N43+S43+O43*(MAX(EXCH*C43,1)-1)/2)*P43*((1-M43)*J43+M43*K43)+Q43*L43)/1000000*FX</f>
        <v>0.228675592849132</v>
      </c>
      <c r="AC43" s="0" t="n">
        <f aca="false">(AGENT_S+V43*EXCH)*(T43*FX+U43)+EXCH*W43*X43*FX+Y43</f>
        <v>0.3659875</v>
      </c>
      <c r="AD43" s="0" t="n">
        <f aca="false">IF(Z43=1,((214*C43+S43+1000)*0.44+400*1.76)/1000000*FX/C43,0)</f>
        <v>0</v>
      </c>
      <c r="AE43" s="0" t="n">
        <f aca="false">AA43+AB43+AC43+AD43</f>
        <v>0.976905092849132</v>
      </c>
      <c r="AF43" s="0" t="n">
        <f aca="false">TEL*(C43+0.25)/C43</f>
        <v>0.465833333333333</v>
      </c>
      <c r="AG43" s="0" t="n">
        <f aca="false">AE43+AF43+INFRA</f>
        <v>1.47273842618247</v>
      </c>
      <c r="AH43" s="0" t="n">
        <f aca="false">AG43/0.6</f>
        <v>2.45456404363744</v>
      </c>
      <c r="AI43" s="0" t="n">
        <f aca="false">AG43/0.5</f>
        <v>2.94547685236493</v>
      </c>
      <c r="AJ43" s="0" t="n">
        <f aca="false">AG43/0.4</f>
        <v>3.68184606545616</v>
      </c>
      <c r="AK43" s="0" t="n">
        <f aca="false">1-AG43/IF(GST_INCL=1,PRICE/(1+GST_RATE),PRICE)</f>
        <v>0.263630786908767</v>
      </c>
      <c r="AL43" s="0" t="n">
        <v>0.976905</v>
      </c>
      <c r="AM43" s="0" t="n">
        <f aca="false">AE43-AL43</f>
        <v>9.28491320495439E-008</v>
      </c>
    </row>
    <row r="44" customFormat="false" ht="15" hidden="false" customHeight="false" outlineLevel="0" collapsed="false">
      <c r="A44" s="0" t="s">
        <v>258</v>
      </c>
      <c r="B44" s="0" t="s">
        <v>259</v>
      </c>
      <c r="C44" s="0" t="n">
        <v>5</v>
      </c>
      <c r="D44" s="0" t="s">
        <v>242</v>
      </c>
      <c r="E44" s="0" t="n">
        <v>8.75E-005</v>
      </c>
      <c r="F44" s="0" t="n">
        <v>0</v>
      </c>
      <c r="G44" s="0" t="n">
        <v>14.6</v>
      </c>
      <c r="H44" s="0" t="n">
        <v>2.1E-005</v>
      </c>
      <c r="I44" s="0" t="n">
        <v>0</v>
      </c>
      <c r="J44" s="0" t="n">
        <v>0.15</v>
      </c>
      <c r="K44" s="0" t="n">
        <v>0.075</v>
      </c>
      <c r="L44" s="0" t="n">
        <v>0.6</v>
      </c>
      <c r="M44" s="0" t="n">
        <v>0.851</v>
      </c>
      <c r="N44" s="0" t="n">
        <v>1920</v>
      </c>
      <c r="O44" s="0" t="n">
        <v>40.3</v>
      </c>
      <c r="P44" s="0" t="n">
        <v>1.793</v>
      </c>
      <c r="Q44" s="0" t="n">
        <v>66.7</v>
      </c>
      <c r="R44" s="0" t="n">
        <v>1.266</v>
      </c>
      <c r="S44" s="0" t="n">
        <v>0</v>
      </c>
      <c r="T44" s="0" t="n">
        <v>0.00015</v>
      </c>
      <c r="U44" s="0" t="n">
        <v>0</v>
      </c>
      <c r="V44" s="0" t="n">
        <v>0.25</v>
      </c>
      <c r="W44" s="0" t="n">
        <v>26</v>
      </c>
      <c r="X44" s="0" t="n">
        <v>5E-007</v>
      </c>
      <c r="Y44" s="0" t="n">
        <v>0</v>
      </c>
      <c r="Z44" s="0" t="n">
        <v>0</v>
      </c>
      <c r="AA44" s="0" t="n">
        <f aca="false">IF(D44="full",60,IF(D44="gated",CALLER_S*GR,0))*(E44*FX+F44)+EXCH*G44*H44*FX+I44</f>
        <v>0.382242</v>
      </c>
      <c r="AB44" s="0" t="n">
        <f aca="false">EXCH*R44*((N44+S44+O44*(MAX(EXCH*C44,1)-1)/2)*P44*((1-M44)*J44+M44*K44)+Q44*L44)/1000000*FX</f>
        <v>0.247398097512226</v>
      </c>
      <c r="AC44" s="0" t="n">
        <f aca="false">(AGENT_S+V44*EXCH)*(T44*FX+U44)+EXCH*W44*X44*FX+Y44</f>
        <v>0.3659875</v>
      </c>
      <c r="AD44" s="0" t="n">
        <f aca="false">IF(Z44=1,((214*C44+S44+1000)*0.44+400*1.76)/1000000*FX/C44,0)</f>
        <v>0</v>
      </c>
      <c r="AE44" s="0" t="n">
        <f aca="false">AA44+AB44+AC44+AD44</f>
        <v>0.995627597512226</v>
      </c>
      <c r="AF44" s="0" t="n">
        <f aca="false">TEL*(C44+0.25)/C44</f>
        <v>0.4515</v>
      </c>
      <c r="AG44" s="0" t="n">
        <f aca="false">AE44+AF44+INFRA</f>
        <v>1.47712759751223</v>
      </c>
      <c r="AH44" s="0" t="n">
        <f aca="false">AG44/0.6</f>
        <v>2.46187932918704</v>
      </c>
      <c r="AI44" s="0" t="n">
        <f aca="false">AG44/0.5</f>
        <v>2.95425519502445</v>
      </c>
      <c r="AJ44" s="0" t="n">
        <f aca="false">AG44/0.4</f>
        <v>3.69281899378057</v>
      </c>
      <c r="AK44" s="0" t="n">
        <f aca="false">1-AG44/IF(GST_INCL=1,PRICE/(1+GST_RATE),PRICE)</f>
        <v>0.261436201243887</v>
      </c>
      <c r="AL44" s="0" t="n">
        <v>0.995628</v>
      </c>
      <c r="AM44" s="0" t="n">
        <f aca="false">AE44-AL44</f>
        <v>-4.02487773554228E-007</v>
      </c>
    </row>
    <row r="45" customFormat="false" ht="15" hidden="false" customHeight="false" outlineLevel="0" collapsed="false">
      <c r="A45" s="0" t="s">
        <v>258</v>
      </c>
      <c r="B45" s="0" t="s">
        <v>259</v>
      </c>
      <c r="C45" s="0" t="n">
        <v>10</v>
      </c>
      <c r="D45" s="0" t="s">
        <v>242</v>
      </c>
      <c r="E45" s="0" t="n">
        <v>8.75E-005</v>
      </c>
      <c r="F45" s="0" t="n">
        <v>0</v>
      </c>
      <c r="G45" s="0" t="n">
        <v>14.6</v>
      </c>
      <c r="H45" s="0" t="n">
        <v>2.1E-005</v>
      </c>
      <c r="I45" s="0" t="n">
        <v>0</v>
      </c>
      <c r="J45" s="0" t="n">
        <v>0.15</v>
      </c>
      <c r="K45" s="0" t="n">
        <v>0.075</v>
      </c>
      <c r="L45" s="0" t="n">
        <v>0.6</v>
      </c>
      <c r="M45" s="0" t="n">
        <v>0.851</v>
      </c>
      <c r="N45" s="0" t="n">
        <v>1920</v>
      </c>
      <c r="O45" s="0" t="n">
        <v>40.3</v>
      </c>
      <c r="P45" s="0" t="n">
        <v>1.793</v>
      </c>
      <c r="Q45" s="0" t="n">
        <v>66.7</v>
      </c>
      <c r="R45" s="0" t="n">
        <v>1.266</v>
      </c>
      <c r="S45" s="0" t="n">
        <v>0</v>
      </c>
      <c r="T45" s="0" t="n">
        <v>0.00015</v>
      </c>
      <c r="U45" s="0" t="n">
        <v>0</v>
      </c>
      <c r="V45" s="0" t="n">
        <v>0.25</v>
      </c>
      <c r="W45" s="0" t="n">
        <v>26</v>
      </c>
      <c r="X45" s="0" t="n">
        <v>5E-007</v>
      </c>
      <c r="Y45" s="0" t="n">
        <v>0</v>
      </c>
      <c r="Z45" s="0" t="n">
        <v>0</v>
      </c>
      <c r="AA45" s="0" t="n">
        <f aca="false">IF(D45="full",60,IF(D45="gated",CALLER_S*GR,0))*(E45*FX+F45)+EXCH*G45*H45*FX+I45</f>
        <v>0.382242</v>
      </c>
      <c r="AB45" s="0" t="n">
        <f aca="false">EXCH*R45*((N45+S45+O45*(MAX(EXCH*C45,1)-1)/2)*P45*((1-M45)*J45+M45*K45)+Q45*L45)/1000000*FX</f>
        <v>0.294204359169962</v>
      </c>
      <c r="AC45" s="0" t="n">
        <f aca="false">(AGENT_S+V45*EXCH)*(T45*FX+U45)+EXCH*W45*X45*FX+Y45</f>
        <v>0.3659875</v>
      </c>
      <c r="AD45" s="0" t="n">
        <f aca="false">IF(Z45=1,((214*C45+S45+1000)*0.44+400*1.76)/1000000*FX/C45,0)</f>
        <v>0</v>
      </c>
      <c r="AE45" s="0" t="n">
        <f aca="false">AA45+AB45+AC45+AD45</f>
        <v>1.04243385916996</v>
      </c>
      <c r="AF45" s="0" t="n">
        <f aca="false">TEL*(C45+0.25)/C45</f>
        <v>0.44075</v>
      </c>
      <c r="AG45" s="0" t="n">
        <f aca="false">AE45+AF45+INFRA</f>
        <v>1.51318385916996</v>
      </c>
      <c r="AH45" s="0" t="n">
        <f aca="false">AG45/0.6</f>
        <v>2.5219730986166</v>
      </c>
      <c r="AI45" s="0" t="n">
        <f aca="false">AG45/0.5</f>
        <v>3.02636771833992</v>
      </c>
      <c r="AJ45" s="0" t="n">
        <f aca="false">AG45/0.4</f>
        <v>3.78295964792491</v>
      </c>
      <c r="AK45" s="0" t="n">
        <f aca="false">1-AG45/IF(GST_INCL=1,PRICE/(1+GST_RATE),PRICE)</f>
        <v>0.243408070415019</v>
      </c>
      <c r="AL45" s="0" t="n">
        <v>1.042434</v>
      </c>
      <c r="AM45" s="0" t="n">
        <f aca="false">AE45-AL45</f>
        <v>-1.4083003785359E-007</v>
      </c>
    </row>
    <row r="46" customFormat="false" ht="15" hidden="false" customHeight="false" outlineLevel="0" collapsed="false">
      <c r="A46" s="0" t="s">
        <v>260</v>
      </c>
      <c r="B46" s="0" t="s">
        <v>259</v>
      </c>
      <c r="C46" s="0" t="n">
        <v>1</v>
      </c>
      <c r="D46" s="0" t="s">
        <v>242</v>
      </c>
      <c r="E46" s="0" t="n">
        <v>8.75E-005</v>
      </c>
      <c r="F46" s="0" t="n">
        <v>0</v>
      </c>
      <c r="G46" s="0" t="n">
        <v>14.6</v>
      </c>
      <c r="H46" s="0" t="n">
        <v>2.1E-005</v>
      </c>
      <c r="I46" s="0" t="n">
        <v>0</v>
      </c>
      <c r="J46" s="0" t="n">
        <v>0.15</v>
      </c>
      <c r="K46" s="0" t="n">
        <v>0.075</v>
      </c>
      <c r="L46" s="0" t="n">
        <v>0.6</v>
      </c>
      <c r="M46" s="0" t="n">
        <v>0.851</v>
      </c>
      <c r="N46" s="0" t="n">
        <v>1920</v>
      </c>
      <c r="O46" s="0" t="n">
        <v>40.3</v>
      </c>
      <c r="P46" s="0" t="n">
        <v>1.793</v>
      </c>
      <c r="Q46" s="0" t="n">
        <v>66.7</v>
      </c>
      <c r="R46" s="0" t="n">
        <v>1.266</v>
      </c>
      <c r="S46" s="0" t="n">
        <v>0</v>
      </c>
      <c r="T46" s="0" t="n">
        <v>0.0003</v>
      </c>
      <c r="U46" s="0" t="n">
        <v>0</v>
      </c>
      <c r="V46" s="0" t="n">
        <v>0.25</v>
      </c>
      <c r="W46" s="0" t="n">
        <v>26</v>
      </c>
      <c r="X46" s="0" t="n">
        <v>1E-006</v>
      </c>
      <c r="Y46" s="0" t="n">
        <v>0</v>
      </c>
      <c r="Z46" s="0" t="n">
        <v>0</v>
      </c>
      <c r="AA46" s="0" t="n">
        <f aca="false">IF(D46="full",60,IF(D46="gated",CALLER_S*GR,0))*(E46*FX+F46)+EXCH*G46*H46*FX+I46</f>
        <v>0.382242</v>
      </c>
      <c r="AB46" s="0" t="n">
        <f aca="false">EXCH*R46*((N46+S46+O46*(MAX(EXCH*C46,1)-1)/2)*P46*((1-M46)*J46+M46*K46)+Q46*L46)/1000000*FX</f>
        <v>0.209953088186038</v>
      </c>
      <c r="AC46" s="0" t="n">
        <f aca="false">(AGENT_S+V46*EXCH)*(T46*FX+U46)+EXCH*W46*X46*FX+Y46</f>
        <v>0.731975</v>
      </c>
      <c r="AD46" s="0" t="n">
        <f aca="false">IF(Z46=1,((214*C46+S46+1000)*0.44+400*1.76)/1000000*FX/C46,0)</f>
        <v>0</v>
      </c>
      <c r="AE46" s="0" t="n">
        <f aca="false">AA46+AB46+AC46+AD46</f>
        <v>1.32417008818604</v>
      </c>
      <c r="AF46" s="0" t="n">
        <f aca="false">TEL*(C46+0.25)/C46</f>
        <v>0.5375</v>
      </c>
      <c r="AG46" s="0" t="n">
        <f aca="false">AE46+AF46+INFRA</f>
        <v>1.89167008818604</v>
      </c>
      <c r="AH46" s="0" t="n">
        <f aca="false">AG46/0.6</f>
        <v>3.15278348031006</v>
      </c>
      <c r="AI46" s="0" t="n">
        <f aca="false">AG46/0.5</f>
        <v>3.78334017637208</v>
      </c>
      <c r="AJ46" s="0" t="n">
        <f aca="false">AG46/0.4</f>
        <v>4.72917522046509</v>
      </c>
      <c r="AK46" s="0" t="n">
        <f aca="false">1-AG46/IF(GST_INCL=1,PRICE/(1+GST_RATE),PRICE)</f>
        <v>0.0541649559069811</v>
      </c>
      <c r="AL46" s="0" t="n">
        <v>1.32417</v>
      </c>
      <c r="AM46" s="0" t="n">
        <f aca="false">AE46-AL46</f>
        <v>8.81860375834265E-008</v>
      </c>
    </row>
    <row r="47" customFormat="false" ht="15" hidden="false" customHeight="false" outlineLevel="0" collapsed="false">
      <c r="A47" s="0" t="s">
        <v>260</v>
      </c>
      <c r="B47" s="0" t="s">
        <v>259</v>
      </c>
      <c r="C47" s="0" t="n">
        <v>3</v>
      </c>
      <c r="D47" s="0" t="s">
        <v>242</v>
      </c>
      <c r="E47" s="0" t="n">
        <v>8.75E-005</v>
      </c>
      <c r="F47" s="0" t="n">
        <v>0</v>
      </c>
      <c r="G47" s="0" t="n">
        <v>14.6</v>
      </c>
      <c r="H47" s="0" t="n">
        <v>2.1E-005</v>
      </c>
      <c r="I47" s="0" t="n">
        <v>0</v>
      </c>
      <c r="J47" s="0" t="n">
        <v>0.15</v>
      </c>
      <c r="K47" s="0" t="n">
        <v>0.075</v>
      </c>
      <c r="L47" s="0" t="n">
        <v>0.6</v>
      </c>
      <c r="M47" s="0" t="n">
        <v>0.851</v>
      </c>
      <c r="N47" s="0" t="n">
        <v>1920</v>
      </c>
      <c r="O47" s="0" t="n">
        <v>40.3</v>
      </c>
      <c r="P47" s="0" t="n">
        <v>1.793</v>
      </c>
      <c r="Q47" s="0" t="n">
        <v>66.7</v>
      </c>
      <c r="R47" s="0" t="n">
        <v>1.266</v>
      </c>
      <c r="S47" s="0" t="n">
        <v>0</v>
      </c>
      <c r="T47" s="0" t="n">
        <v>0.0003</v>
      </c>
      <c r="U47" s="0" t="n">
        <v>0</v>
      </c>
      <c r="V47" s="0" t="n">
        <v>0.25</v>
      </c>
      <c r="W47" s="0" t="n">
        <v>26</v>
      </c>
      <c r="X47" s="0" t="n">
        <v>1E-006</v>
      </c>
      <c r="Y47" s="0" t="n">
        <v>0</v>
      </c>
      <c r="Z47" s="0" t="n">
        <v>0</v>
      </c>
      <c r="AA47" s="0" t="n">
        <f aca="false">IF(D47="full",60,IF(D47="gated",CALLER_S*GR,0))*(E47*FX+F47)+EXCH*G47*H47*FX+I47</f>
        <v>0.382242</v>
      </c>
      <c r="AB47" s="0" t="n">
        <f aca="false">EXCH*R47*((N47+S47+O47*(MAX(EXCH*C47,1)-1)/2)*P47*((1-M47)*J47+M47*K47)+Q47*L47)/1000000*FX</f>
        <v>0.228675592849132</v>
      </c>
      <c r="AC47" s="0" t="n">
        <f aca="false">(AGENT_S+V47*EXCH)*(T47*FX+U47)+EXCH*W47*X47*FX+Y47</f>
        <v>0.731975</v>
      </c>
      <c r="AD47" s="0" t="n">
        <f aca="false">IF(Z47=1,((214*C47+S47+1000)*0.44+400*1.76)/1000000*FX/C47,0)</f>
        <v>0</v>
      </c>
      <c r="AE47" s="0" t="n">
        <f aca="false">AA47+AB47+AC47+AD47</f>
        <v>1.34289259284913</v>
      </c>
      <c r="AF47" s="0" t="n">
        <f aca="false">TEL*(C47+0.25)/C47</f>
        <v>0.465833333333333</v>
      </c>
      <c r="AG47" s="0" t="n">
        <f aca="false">AE47+AF47+INFRA</f>
        <v>1.83872592618247</v>
      </c>
      <c r="AH47" s="0" t="n">
        <f aca="false">AG47/0.6</f>
        <v>3.06454321030411</v>
      </c>
      <c r="AI47" s="0" t="n">
        <f aca="false">AG47/0.5</f>
        <v>3.67745185236493</v>
      </c>
      <c r="AJ47" s="0" t="n">
        <f aca="false">AG47/0.4</f>
        <v>4.59681481545616</v>
      </c>
      <c r="AK47" s="0" t="n">
        <f aca="false">1-AG47/IF(GST_INCL=1,PRICE/(1+GST_RATE),PRICE)</f>
        <v>0.0806370369087673</v>
      </c>
      <c r="AL47" s="0" t="n">
        <v>1.342893</v>
      </c>
      <c r="AM47" s="0" t="n">
        <f aca="false">AE47-AL47</f>
        <v>-4.07150867909323E-007</v>
      </c>
    </row>
    <row r="48" customFormat="false" ht="15" hidden="false" customHeight="false" outlineLevel="0" collapsed="false">
      <c r="A48" s="0" t="s">
        <v>260</v>
      </c>
      <c r="B48" s="0" t="s">
        <v>259</v>
      </c>
      <c r="C48" s="0" t="n">
        <v>5</v>
      </c>
      <c r="D48" s="0" t="s">
        <v>242</v>
      </c>
      <c r="E48" s="0" t="n">
        <v>8.75E-005</v>
      </c>
      <c r="F48" s="0" t="n">
        <v>0</v>
      </c>
      <c r="G48" s="0" t="n">
        <v>14.6</v>
      </c>
      <c r="H48" s="0" t="n">
        <v>2.1E-005</v>
      </c>
      <c r="I48" s="0" t="n">
        <v>0</v>
      </c>
      <c r="J48" s="0" t="n">
        <v>0.15</v>
      </c>
      <c r="K48" s="0" t="n">
        <v>0.075</v>
      </c>
      <c r="L48" s="0" t="n">
        <v>0.6</v>
      </c>
      <c r="M48" s="0" t="n">
        <v>0.851</v>
      </c>
      <c r="N48" s="0" t="n">
        <v>1920</v>
      </c>
      <c r="O48" s="0" t="n">
        <v>40.3</v>
      </c>
      <c r="P48" s="0" t="n">
        <v>1.793</v>
      </c>
      <c r="Q48" s="0" t="n">
        <v>66.7</v>
      </c>
      <c r="R48" s="0" t="n">
        <v>1.266</v>
      </c>
      <c r="S48" s="0" t="n">
        <v>0</v>
      </c>
      <c r="T48" s="0" t="n">
        <v>0.0003</v>
      </c>
      <c r="U48" s="0" t="n">
        <v>0</v>
      </c>
      <c r="V48" s="0" t="n">
        <v>0.25</v>
      </c>
      <c r="W48" s="0" t="n">
        <v>26</v>
      </c>
      <c r="X48" s="0" t="n">
        <v>1E-006</v>
      </c>
      <c r="Y48" s="0" t="n">
        <v>0</v>
      </c>
      <c r="Z48" s="0" t="n">
        <v>0</v>
      </c>
      <c r="AA48" s="0" t="n">
        <f aca="false">IF(D48="full",60,IF(D48="gated",CALLER_S*GR,0))*(E48*FX+F48)+EXCH*G48*H48*FX+I48</f>
        <v>0.382242</v>
      </c>
      <c r="AB48" s="0" t="n">
        <f aca="false">EXCH*R48*((N48+S48+O48*(MAX(EXCH*C48,1)-1)/2)*P48*((1-M48)*J48+M48*K48)+Q48*L48)/1000000*FX</f>
        <v>0.247398097512226</v>
      </c>
      <c r="AC48" s="0" t="n">
        <f aca="false">(AGENT_S+V48*EXCH)*(T48*FX+U48)+EXCH*W48*X48*FX+Y48</f>
        <v>0.731975</v>
      </c>
      <c r="AD48" s="0" t="n">
        <f aca="false">IF(Z48=1,((214*C48+S48+1000)*0.44+400*1.76)/1000000*FX/C48,0)</f>
        <v>0</v>
      </c>
      <c r="AE48" s="0" t="n">
        <f aca="false">AA48+AB48+AC48+AD48</f>
        <v>1.36161509751223</v>
      </c>
      <c r="AF48" s="0" t="n">
        <f aca="false">TEL*(C48+0.25)/C48</f>
        <v>0.4515</v>
      </c>
      <c r="AG48" s="0" t="n">
        <f aca="false">AE48+AF48+INFRA</f>
        <v>1.84311509751223</v>
      </c>
      <c r="AH48" s="0" t="n">
        <f aca="false">AG48/0.6</f>
        <v>3.07185849585371</v>
      </c>
      <c r="AI48" s="0" t="n">
        <f aca="false">AG48/0.5</f>
        <v>3.68623019502445</v>
      </c>
      <c r="AJ48" s="0" t="n">
        <f aca="false">AG48/0.4</f>
        <v>4.60778774378057</v>
      </c>
      <c r="AK48" s="0" t="n">
        <f aca="false">1-AG48/IF(GST_INCL=1,PRICE/(1+GST_RATE),PRICE)</f>
        <v>0.0784424512438868</v>
      </c>
      <c r="AL48" s="0" t="n">
        <v>1.361615</v>
      </c>
      <c r="AM48" s="0" t="n">
        <f aca="false">AE48-AL48</f>
        <v>9.75122262936168E-008</v>
      </c>
    </row>
    <row r="49" customFormat="false" ht="15" hidden="false" customHeight="false" outlineLevel="0" collapsed="false">
      <c r="A49" s="0" t="s">
        <v>260</v>
      </c>
      <c r="B49" s="0" t="s">
        <v>259</v>
      </c>
      <c r="C49" s="0" t="n">
        <v>10</v>
      </c>
      <c r="D49" s="0" t="s">
        <v>242</v>
      </c>
      <c r="E49" s="0" t="n">
        <v>8.75E-005</v>
      </c>
      <c r="F49" s="0" t="n">
        <v>0</v>
      </c>
      <c r="G49" s="0" t="n">
        <v>14.6</v>
      </c>
      <c r="H49" s="0" t="n">
        <v>2.1E-005</v>
      </c>
      <c r="I49" s="0" t="n">
        <v>0</v>
      </c>
      <c r="J49" s="0" t="n">
        <v>0.15</v>
      </c>
      <c r="K49" s="0" t="n">
        <v>0.075</v>
      </c>
      <c r="L49" s="0" t="n">
        <v>0.6</v>
      </c>
      <c r="M49" s="0" t="n">
        <v>0.851</v>
      </c>
      <c r="N49" s="0" t="n">
        <v>1920</v>
      </c>
      <c r="O49" s="0" t="n">
        <v>40.3</v>
      </c>
      <c r="P49" s="0" t="n">
        <v>1.793</v>
      </c>
      <c r="Q49" s="0" t="n">
        <v>66.7</v>
      </c>
      <c r="R49" s="0" t="n">
        <v>1.266</v>
      </c>
      <c r="S49" s="0" t="n">
        <v>0</v>
      </c>
      <c r="T49" s="0" t="n">
        <v>0.0003</v>
      </c>
      <c r="U49" s="0" t="n">
        <v>0</v>
      </c>
      <c r="V49" s="0" t="n">
        <v>0.25</v>
      </c>
      <c r="W49" s="0" t="n">
        <v>26</v>
      </c>
      <c r="X49" s="0" t="n">
        <v>1E-006</v>
      </c>
      <c r="Y49" s="0" t="n">
        <v>0</v>
      </c>
      <c r="Z49" s="0" t="n">
        <v>0</v>
      </c>
      <c r="AA49" s="0" t="n">
        <f aca="false">IF(D49="full",60,IF(D49="gated",CALLER_S*GR,0))*(E49*FX+F49)+EXCH*G49*H49*FX+I49</f>
        <v>0.382242</v>
      </c>
      <c r="AB49" s="0" t="n">
        <f aca="false">EXCH*R49*((N49+S49+O49*(MAX(EXCH*C49,1)-1)/2)*P49*((1-M49)*J49+M49*K49)+Q49*L49)/1000000*FX</f>
        <v>0.294204359169962</v>
      </c>
      <c r="AC49" s="0" t="n">
        <f aca="false">(AGENT_S+V49*EXCH)*(T49*FX+U49)+EXCH*W49*X49*FX+Y49</f>
        <v>0.731975</v>
      </c>
      <c r="AD49" s="0" t="n">
        <f aca="false">IF(Z49=1,((214*C49+S49+1000)*0.44+400*1.76)/1000000*FX/C49,0)</f>
        <v>0</v>
      </c>
      <c r="AE49" s="0" t="n">
        <f aca="false">AA49+AB49+AC49+AD49</f>
        <v>1.40842135916996</v>
      </c>
      <c r="AF49" s="0" t="n">
        <f aca="false">TEL*(C49+0.25)/C49</f>
        <v>0.44075</v>
      </c>
      <c r="AG49" s="0" t="n">
        <f aca="false">AE49+AF49+INFRA</f>
        <v>1.87917135916996</v>
      </c>
      <c r="AH49" s="0" t="n">
        <f aca="false">AG49/0.6</f>
        <v>3.13195226528327</v>
      </c>
      <c r="AI49" s="0" t="n">
        <f aca="false">AG49/0.5</f>
        <v>3.75834271833992</v>
      </c>
      <c r="AJ49" s="0" t="n">
        <f aca="false">AG49/0.4</f>
        <v>4.69792839792491</v>
      </c>
      <c r="AK49" s="0" t="n">
        <f aca="false">1-AG49/IF(GST_INCL=1,PRICE/(1+GST_RATE),PRICE)</f>
        <v>0.0604143204150188</v>
      </c>
      <c r="AL49" s="0" t="n">
        <v>1.408421</v>
      </c>
      <c r="AM49" s="0" t="n">
        <f aca="false">AE49-AL49</f>
        <v>3.59169962438344E-007</v>
      </c>
    </row>
    <row r="50" customFormat="false" ht="15" hidden="false" customHeight="false" outlineLevel="0" collapsed="false">
      <c r="A50" s="0" t="s">
        <v>261</v>
      </c>
      <c r="B50" s="0" t="s">
        <v>262</v>
      </c>
      <c r="C50" s="0" t="n">
        <v>1</v>
      </c>
      <c r="D50" s="0" t="s">
        <v>242</v>
      </c>
      <c r="E50" s="0" t="n">
        <v>0</v>
      </c>
      <c r="F50" s="0" t="n">
        <v>0.00683333333333333</v>
      </c>
      <c r="G50" s="0" t="n">
        <v>0</v>
      </c>
      <c r="H50" s="0" t="n">
        <v>0</v>
      </c>
      <c r="I50" s="0" t="n">
        <v>0</v>
      </c>
      <c r="J50" s="0" t="n">
        <v>0.15</v>
      </c>
      <c r="K50" s="0" t="n">
        <v>0.075</v>
      </c>
      <c r="L50" s="0" t="n">
        <v>0.6</v>
      </c>
      <c r="M50" s="0" t="n">
        <v>0.831</v>
      </c>
      <c r="N50" s="0" t="n">
        <v>1773</v>
      </c>
      <c r="O50" s="0" t="n">
        <v>64.8</v>
      </c>
      <c r="P50" s="0" t="n">
        <v>1.864</v>
      </c>
      <c r="Q50" s="0" t="n">
        <v>76.5</v>
      </c>
      <c r="R50" s="0" t="n">
        <v>1.266</v>
      </c>
      <c r="S50" s="0" t="n">
        <v>0</v>
      </c>
      <c r="T50" s="0" t="n">
        <v>0</v>
      </c>
      <c r="U50" s="0" t="n">
        <v>0.024939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f aca="false">IF(D50="full",60,IF(D50="gated",CALLER_S*GR,0))*(E50*FX+F50)+EXCH*G50*H50*FX+I50</f>
        <v>0.194504</v>
      </c>
      <c r="AB50" s="0" t="n">
        <f aca="false">EXCH*R50*((N50+S50+O50*(MAX(EXCH*C50,1)-1)/2)*P50*((1-M50)*J50+M50*K50)+Q50*L50)/1000000*FX</f>
        <v>0.214582539700962</v>
      </c>
      <c r="AC50" s="0" t="n">
        <f aca="false">(AGENT_S+V50*EXCH)*(T50*FX+U50)+EXCH*W50*X50*FX+Y50</f>
        <v>0.598536</v>
      </c>
      <c r="AD50" s="0" t="n">
        <f aca="false">IF(Z50=1,((214*C50+S50+1000)*0.44+400*1.76)/1000000*FX/C50,0)</f>
        <v>0</v>
      </c>
      <c r="AE50" s="0" t="n">
        <f aca="false">AA50+AB50+AC50+AD50</f>
        <v>1.00762253970096</v>
      </c>
      <c r="AF50" s="0" t="n">
        <f aca="false">TEL*(C50+0.25)/C50</f>
        <v>0.5375</v>
      </c>
      <c r="AG50" s="0" t="n">
        <f aca="false">AE50+AF50+INFRA</f>
        <v>1.57512253970096</v>
      </c>
      <c r="AH50" s="0" t="n">
        <f aca="false">AG50/0.6</f>
        <v>2.62520423283494</v>
      </c>
      <c r="AI50" s="0" t="n">
        <f aca="false">AG50/0.5</f>
        <v>3.15024507940192</v>
      </c>
      <c r="AJ50" s="0" t="n">
        <f aca="false">AG50/0.4</f>
        <v>3.9378063492524</v>
      </c>
      <c r="AK50" s="0" t="n">
        <f aca="false">1-AG50/IF(GST_INCL=1,PRICE/(1+GST_RATE),PRICE)</f>
        <v>0.212438730149519</v>
      </c>
      <c r="AL50" s="0" t="n">
        <v>1.007623</v>
      </c>
      <c r="AM50" s="0" t="n">
        <f aca="false">AE50-AL50</f>
        <v>-4.60299037996492E-007</v>
      </c>
    </row>
    <row r="51" customFormat="false" ht="15" hidden="false" customHeight="false" outlineLevel="0" collapsed="false">
      <c r="A51" s="0" t="s">
        <v>261</v>
      </c>
      <c r="B51" s="0" t="s">
        <v>262</v>
      </c>
      <c r="C51" s="0" t="n">
        <v>3</v>
      </c>
      <c r="D51" s="0" t="s">
        <v>242</v>
      </c>
      <c r="E51" s="0" t="n">
        <v>0</v>
      </c>
      <c r="F51" s="0" t="n">
        <v>0.00683333333333333</v>
      </c>
      <c r="G51" s="0" t="n">
        <v>0</v>
      </c>
      <c r="H51" s="0" t="n">
        <v>0</v>
      </c>
      <c r="I51" s="0" t="n">
        <v>0</v>
      </c>
      <c r="J51" s="0" t="n">
        <v>0.15</v>
      </c>
      <c r="K51" s="0" t="n">
        <v>0.075</v>
      </c>
      <c r="L51" s="0" t="n">
        <v>0.6</v>
      </c>
      <c r="M51" s="0" t="n">
        <v>0.831</v>
      </c>
      <c r="N51" s="0" t="n">
        <v>1773</v>
      </c>
      <c r="O51" s="0" t="n">
        <v>64.8</v>
      </c>
      <c r="P51" s="0" t="n">
        <v>1.864</v>
      </c>
      <c r="Q51" s="0" t="n">
        <v>76.5</v>
      </c>
      <c r="R51" s="0" t="n">
        <v>1.266</v>
      </c>
      <c r="S51" s="0" t="n">
        <v>0</v>
      </c>
      <c r="T51" s="0" t="n">
        <v>0</v>
      </c>
      <c r="U51" s="0" t="n">
        <v>0.024939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f aca="false">IF(D51="full",60,IF(D51="gated",CALLER_S*GR,0))*(E51*FX+F51)+EXCH*G51*H51*FX+I51</f>
        <v>0.194504</v>
      </c>
      <c r="AB51" s="0" t="n">
        <f aca="false">EXCH*R51*((N51+S51+O51*(MAX(EXCH*C51,1)-1)/2)*P51*((1-M51)*J51+M51*K51)+Q51*L51)/1000000*FX</f>
        <v>0.246424075600842</v>
      </c>
      <c r="AC51" s="0" t="n">
        <f aca="false">(AGENT_S+V51*EXCH)*(T51*FX+U51)+EXCH*W51*X51*FX+Y51</f>
        <v>0.598536</v>
      </c>
      <c r="AD51" s="0" t="n">
        <f aca="false">IF(Z51=1,((214*C51+S51+1000)*0.44+400*1.76)/1000000*FX/C51,0)</f>
        <v>0</v>
      </c>
      <c r="AE51" s="0" t="n">
        <f aca="false">AA51+AB51+AC51+AD51</f>
        <v>1.03946407560084</v>
      </c>
      <c r="AF51" s="0" t="n">
        <f aca="false">TEL*(C51+0.25)/C51</f>
        <v>0.465833333333333</v>
      </c>
      <c r="AG51" s="0" t="n">
        <f aca="false">AE51+AF51+INFRA</f>
        <v>1.53529740893418</v>
      </c>
      <c r="AH51" s="0" t="n">
        <f aca="false">AG51/0.6</f>
        <v>2.55882901489029</v>
      </c>
      <c r="AI51" s="0" t="n">
        <f aca="false">AG51/0.5</f>
        <v>3.07059481786835</v>
      </c>
      <c r="AJ51" s="0" t="n">
        <f aca="false">AG51/0.4</f>
        <v>3.83824352233544</v>
      </c>
      <c r="AK51" s="0" t="n">
        <f aca="false">1-AG51/IF(GST_INCL=1,PRICE/(1+GST_RATE),PRICE)</f>
        <v>0.232351295532912</v>
      </c>
      <c r="AL51" s="0" t="n">
        <v>1.039464</v>
      </c>
      <c r="AM51" s="0" t="n">
        <f aca="false">AE51-AL51</f>
        <v>7.5600842031065E-008</v>
      </c>
    </row>
    <row r="52" customFormat="false" ht="15" hidden="false" customHeight="false" outlineLevel="0" collapsed="false">
      <c r="A52" s="0" t="s">
        <v>261</v>
      </c>
      <c r="B52" s="0" t="s">
        <v>262</v>
      </c>
      <c r="C52" s="0" t="n">
        <v>5</v>
      </c>
      <c r="D52" s="0" t="s">
        <v>242</v>
      </c>
      <c r="E52" s="0" t="n">
        <v>0</v>
      </c>
      <c r="F52" s="0" t="n">
        <v>0.00683333333333333</v>
      </c>
      <c r="G52" s="0" t="n">
        <v>0</v>
      </c>
      <c r="H52" s="0" t="n">
        <v>0</v>
      </c>
      <c r="I52" s="0" t="n">
        <v>0</v>
      </c>
      <c r="J52" s="0" t="n">
        <v>0.15</v>
      </c>
      <c r="K52" s="0" t="n">
        <v>0.075</v>
      </c>
      <c r="L52" s="0" t="n">
        <v>0.6</v>
      </c>
      <c r="M52" s="0" t="n">
        <v>0.831</v>
      </c>
      <c r="N52" s="0" t="n">
        <v>1773</v>
      </c>
      <c r="O52" s="0" t="n">
        <v>64.8</v>
      </c>
      <c r="P52" s="0" t="n">
        <v>1.864</v>
      </c>
      <c r="Q52" s="0" t="n">
        <v>76.5</v>
      </c>
      <c r="R52" s="0" t="n">
        <v>1.266</v>
      </c>
      <c r="S52" s="0" t="n">
        <v>0</v>
      </c>
      <c r="T52" s="0" t="n">
        <v>0</v>
      </c>
      <c r="U52" s="0" t="n">
        <v>0.024939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f aca="false">IF(D52="full",60,IF(D52="gated",CALLER_S*GR,0))*(E52*FX+F52)+EXCH*G52*H52*FX+I52</f>
        <v>0.194504</v>
      </c>
      <c r="AB52" s="0" t="n">
        <f aca="false">EXCH*R52*((N52+S52+O52*(MAX(EXCH*C52,1)-1)/2)*P52*((1-M52)*J52+M52*K52)+Q52*L52)/1000000*FX</f>
        <v>0.278265611500722</v>
      </c>
      <c r="AC52" s="0" t="n">
        <f aca="false">(AGENT_S+V52*EXCH)*(T52*FX+U52)+EXCH*W52*X52*FX+Y52</f>
        <v>0.598536</v>
      </c>
      <c r="AD52" s="0" t="n">
        <f aca="false">IF(Z52=1,((214*C52+S52+1000)*0.44+400*1.76)/1000000*FX/C52,0)</f>
        <v>0</v>
      </c>
      <c r="AE52" s="0" t="n">
        <f aca="false">AA52+AB52+AC52+AD52</f>
        <v>1.07130561150072</v>
      </c>
      <c r="AF52" s="0" t="n">
        <f aca="false">TEL*(C52+0.25)/C52</f>
        <v>0.4515</v>
      </c>
      <c r="AG52" s="0" t="n">
        <f aca="false">AE52+AF52+INFRA</f>
        <v>1.55280561150072</v>
      </c>
      <c r="AH52" s="0" t="n">
        <f aca="false">AG52/0.6</f>
        <v>2.5880093525012</v>
      </c>
      <c r="AI52" s="0" t="n">
        <f aca="false">AG52/0.5</f>
        <v>3.10561122300144</v>
      </c>
      <c r="AJ52" s="0" t="n">
        <f aca="false">AG52/0.4</f>
        <v>3.8820140287518</v>
      </c>
      <c r="AK52" s="0" t="n">
        <f aca="false">1-AG52/IF(GST_INCL=1,PRICE/(1+GST_RATE),PRICE)</f>
        <v>0.223597194249639</v>
      </c>
      <c r="AL52" s="0" t="n">
        <v>1.071306</v>
      </c>
      <c r="AM52" s="0" t="n">
        <f aca="false">AE52-AL52</f>
        <v>-3.884992783032E-007</v>
      </c>
    </row>
    <row r="53" customFormat="false" ht="15" hidden="false" customHeight="false" outlineLevel="0" collapsed="false">
      <c r="A53" s="0" t="s">
        <v>261</v>
      </c>
      <c r="B53" s="0" t="s">
        <v>262</v>
      </c>
      <c r="C53" s="0" t="n">
        <v>10</v>
      </c>
      <c r="D53" s="0" t="s">
        <v>242</v>
      </c>
      <c r="E53" s="0" t="n">
        <v>0</v>
      </c>
      <c r="F53" s="0" t="n">
        <v>0.00683333333333333</v>
      </c>
      <c r="G53" s="0" t="n">
        <v>0</v>
      </c>
      <c r="H53" s="0" t="n">
        <v>0</v>
      </c>
      <c r="I53" s="0" t="n">
        <v>0</v>
      </c>
      <c r="J53" s="0" t="n">
        <v>0.15</v>
      </c>
      <c r="K53" s="0" t="n">
        <v>0.075</v>
      </c>
      <c r="L53" s="0" t="n">
        <v>0.6</v>
      </c>
      <c r="M53" s="0" t="n">
        <v>0.831</v>
      </c>
      <c r="N53" s="0" t="n">
        <v>1773</v>
      </c>
      <c r="O53" s="0" t="n">
        <v>64.8</v>
      </c>
      <c r="P53" s="0" t="n">
        <v>1.864</v>
      </c>
      <c r="Q53" s="0" t="n">
        <v>76.5</v>
      </c>
      <c r="R53" s="0" t="n">
        <v>1.266</v>
      </c>
      <c r="S53" s="0" t="n">
        <v>0</v>
      </c>
      <c r="T53" s="0" t="n">
        <v>0</v>
      </c>
      <c r="U53" s="0" t="n">
        <v>0.024939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f aca="false">IF(D53="full",60,IF(D53="gated",CALLER_S*GR,0))*(E53*FX+F53)+EXCH*G53*H53*FX+I53</f>
        <v>0.194504</v>
      </c>
      <c r="AB53" s="0" t="n">
        <f aca="false">EXCH*R53*((N53+S53+O53*(MAX(EXCH*C53,1)-1)/2)*P53*((1-M53)*J53+M53*K53)+Q53*L53)/1000000*FX</f>
        <v>0.357869451250422</v>
      </c>
      <c r="AC53" s="0" t="n">
        <f aca="false">(AGENT_S+V53*EXCH)*(T53*FX+U53)+EXCH*W53*X53*FX+Y53</f>
        <v>0.598536</v>
      </c>
      <c r="AD53" s="0" t="n">
        <f aca="false">IF(Z53=1,((214*C53+S53+1000)*0.44+400*1.76)/1000000*FX/C53,0)</f>
        <v>0</v>
      </c>
      <c r="AE53" s="0" t="n">
        <f aca="false">AA53+AB53+AC53+AD53</f>
        <v>1.15090945125042</v>
      </c>
      <c r="AF53" s="0" t="n">
        <f aca="false">TEL*(C53+0.25)/C53</f>
        <v>0.44075</v>
      </c>
      <c r="AG53" s="0" t="n">
        <f aca="false">AE53+AF53+INFRA</f>
        <v>1.62165945125042</v>
      </c>
      <c r="AH53" s="0" t="n">
        <f aca="false">AG53/0.6</f>
        <v>2.70276575208404</v>
      </c>
      <c r="AI53" s="0" t="n">
        <f aca="false">AG53/0.5</f>
        <v>3.24331890250084</v>
      </c>
      <c r="AJ53" s="0" t="n">
        <f aca="false">AG53/0.4</f>
        <v>4.05414862812606</v>
      </c>
      <c r="AK53" s="0" t="n">
        <f aca="false">1-AG53/IF(GST_INCL=1,PRICE/(1+GST_RATE),PRICE)</f>
        <v>0.189170274374789</v>
      </c>
      <c r="AL53" s="0" t="n">
        <v>1.150909</v>
      </c>
      <c r="AM53" s="0" t="n">
        <f aca="false">AE53-AL53</f>
        <v>4.51250421917848E-007</v>
      </c>
    </row>
    <row r="54" customFormat="false" ht="15" hidden="false" customHeight="false" outlineLevel="0" collapsed="false">
      <c r="A54" s="0" t="s">
        <v>263</v>
      </c>
      <c r="B54" s="0" t="s">
        <v>264</v>
      </c>
      <c r="C54" s="0" t="n">
        <v>1</v>
      </c>
      <c r="D54" s="0" t="s">
        <v>239</v>
      </c>
      <c r="E54" s="0" t="n">
        <v>2.77777777777778E-005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0.07</v>
      </c>
      <c r="K54" s="0" t="n">
        <v>0.07</v>
      </c>
      <c r="L54" s="0" t="n">
        <v>0.34</v>
      </c>
      <c r="M54" s="0" t="n">
        <v>0</v>
      </c>
      <c r="N54" s="0" t="n">
        <v>1727</v>
      </c>
      <c r="O54" s="0" t="n">
        <v>51.3</v>
      </c>
      <c r="P54" s="0" t="n">
        <v>1.842</v>
      </c>
      <c r="Q54" s="0" t="n">
        <v>28.6</v>
      </c>
      <c r="R54" s="0" t="n">
        <v>1</v>
      </c>
      <c r="S54" s="0" t="n">
        <v>0</v>
      </c>
      <c r="T54" s="0" t="n">
        <v>0.00010269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f aca="false">IF(D54="full",60,IF(D54="gated",CALLER_S*GR,0))*(E54*FX+F54)+EXCH*G54*H54*FX+I54</f>
        <v>0.158333333333333</v>
      </c>
      <c r="AB54" s="0" t="n">
        <f aca="false">EXCH*R54*((N54+S54+O54*(MAX(EXCH*C54,1)-1)/2)*P54*((1-M54)*J54+M54*K54)+Q54*L54)/1000000*FX</f>
        <v>0.1166754964</v>
      </c>
      <c r="AC54" s="0" t="n">
        <f aca="false">(AGENT_S+V54*EXCH)*(T54*FX+U54)+EXCH*W54*X54*FX+Y54</f>
        <v>0.2341332</v>
      </c>
      <c r="AD54" s="0" t="n">
        <f aca="false">IF(Z54=1,((214*C54+S54+1000)*0.44+400*1.76)/1000000*FX/C54,0)</f>
        <v>0</v>
      </c>
      <c r="AE54" s="0" t="n">
        <f aca="false">AA54+AB54+AC54+AD54</f>
        <v>0.509142029733333</v>
      </c>
      <c r="AF54" s="0" t="n">
        <f aca="false">TEL*(C54+0.25)/C54</f>
        <v>0.5375</v>
      </c>
      <c r="AG54" s="0" t="n">
        <f aca="false">AE54+AF54+INFRA</f>
        <v>1.07664202973333</v>
      </c>
      <c r="AH54" s="0" t="n">
        <f aca="false">AG54/0.6</f>
        <v>1.79440338288889</v>
      </c>
      <c r="AI54" s="0" t="n">
        <f aca="false">AG54/0.5</f>
        <v>2.15328405946667</v>
      </c>
      <c r="AJ54" s="0" t="n">
        <f aca="false">AG54/0.4</f>
        <v>2.69160507433333</v>
      </c>
      <c r="AK54" s="0" t="n">
        <f aca="false">1-AG54/IF(GST_INCL=1,PRICE/(1+GST_RATE),PRICE)</f>
        <v>0.461678985133333</v>
      </c>
      <c r="AL54" s="0" t="n">
        <v>0.509142</v>
      </c>
      <c r="AM54" s="0" t="n">
        <f aca="false">AE54-AL54</f>
        <v>2.97333333509897E-008</v>
      </c>
    </row>
    <row r="55" customFormat="false" ht="15" hidden="false" customHeight="false" outlineLevel="0" collapsed="false">
      <c r="A55" s="0" t="s">
        <v>263</v>
      </c>
      <c r="B55" s="0" t="s">
        <v>264</v>
      </c>
      <c r="C55" s="0" t="n">
        <v>3</v>
      </c>
      <c r="D55" s="0" t="s">
        <v>239</v>
      </c>
      <c r="E55" s="0" t="n">
        <v>2.77777777777778E-005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0.07</v>
      </c>
      <c r="K55" s="0" t="n">
        <v>0.07</v>
      </c>
      <c r="L55" s="0" t="n">
        <v>0.34</v>
      </c>
      <c r="M55" s="0" t="n">
        <v>0</v>
      </c>
      <c r="N55" s="0" t="n">
        <v>1727</v>
      </c>
      <c r="O55" s="0" t="n">
        <v>51.3</v>
      </c>
      <c r="P55" s="0" t="n">
        <v>1.842</v>
      </c>
      <c r="Q55" s="0" t="n">
        <v>28.6</v>
      </c>
      <c r="R55" s="0" t="n">
        <v>1</v>
      </c>
      <c r="S55" s="0" t="n">
        <v>0</v>
      </c>
      <c r="T55" s="0" t="n">
        <v>0.00010269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f aca="false">IF(D55="full",60,IF(D55="gated",CALLER_S*GR,0))*(E55*FX+F55)+EXCH*G55*H55*FX+I55</f>
        <v>0.158333333333333</v>
      </c>
      <c r="AB55" s="0" t="n">
        <f aca="false">EXCH*R55*((N55+S55+O55*(MAX(EXCH*C55,1)-1)/2)*P55*((1-M55)*J55+M55*K55)+Q55*L55)/1000000*FX</f>
        <v>0.13238522365</v>
      </c>
      <c r="AC55" s="0" t="n">
        <f aca="false">(AGENT_S+V55*EXCH)*(T55*FX+U55)+EXCH*W55*X55*FX+Y55</f>
        <v>0.2341332</v>
      </c>
      <c r="AD55" s="0" t="n">
        <f aca="false">IF(Z55=1,((214*C55+S55+1000)*0.44+400*1.76)/1000000*FX/C55,0)</f>
        <v>0</v>
      </c>
      <c r="AE55" s="0" t="n">
        <f aca="false">AA55+AB55+AC55+AD55</f>
        <v>0.524851756983333</v>
      </c>
      <c r="AF55" s="0" t="n">
        <f aca="false">TEL*(C55+0.25)/C55</f>
        <v>0.465833333333333</v>
      </c>
      <c r="AG55" s="0" t="n">
        <f aca="false">AE55+AF55+INFRA</f>
        <v>1.02068509031667</v>
      </c>
      <c r="AH55" s="0" t="n">
        <f aca="false">AG55/0.6</f>
        <v>1.70114181719444</v>
      </c>
      <c r="AI55" s="0" t="n">
        <f aca="false">AG55/0.5</f>
        <v>2.04137018063333</v>
      </c>
      <c r="AJ55" s="0" t="n">
        <f aca="false">AG55/0.4</f>
        <v>2.55171272579167</v>
      </c>
      <c r="AK55" s="0" t="n">
        <f aca="false">1-AG55/IF(GST_INCL=1,PRICE/(1+GST_RATE),PRICE)</f>
        <v>0.489657454841667</v>
      </c>
      <c r="AL55" s="0" t="n">
        <v>0.524852</v>
      </c>
      <c r="AM55" s="0" t="n">
        <f aca="false">AE55-AL55</f>
        <v>-2.43016666678919E-007</v>
      </c>
    </row>
    <row r="56" customFormat="false" ht="15" hidden="false" customHeight="false" outlineLevel="0" collapsed="false">
      <c r="A56" s="0" t="s">
        <v>263</v>
      </c>
      <c r="B56" s="0" t="s">
        <v>264</v>
      </c>
      <c r="C56" s="0" t="n">
        <v>5</v>
      </c>
      <c r="D56" s="0" t="s">
        <v>239</v>
      </c>
      <c r="E56" s="0" t="n">
        <v>2.77777777777778E-005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0.07</v>
      </c>
      <c r="K56" s="0" t="n">
        <v>0.07</v>
      </c>
      <c r="L56" s="0" t="n">
        <v>0.34</v>
      </c>
      <c r="M56" s="0" t="n">
        <v>0</v>
      </c>
      <c r="N56" s="0" t="n">
        <v>1727</v>
      </c>
      <c r="O56" s="0" t="n">
        <v>51.3</v>
      </c>
      <c r="P56" s="0" t="n">
        <v>1.842</v>
      </c>
      <c r="Q56" s="0" t="n">
        <v>28.6</v>
      </c>
      <c r="R56" s="0" t="n">
        <v>1</v>
      </c>
      <c r="S56" s="0" t="n">
        <v>0</v>
      </c>
      <c r="T56" s="0" t="n">
        <v>0.00010269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f aca="false">IF(D56="full",60,IF(D56="gated",CALLER_S*GR,0))*(E56*FX+F56)+EXCH*G56*H56*FX+I56</f>
        <v>0.158333333333333</v>
      </c>
      <c r="AB56" s="0" t="n">
        <f aca="false">EXCH*R56*((N56+S56+O56*(MAX(EXCH*C56,1)-1)/2)*P56*((1-M56)*J56+M56*K56)+Q56*L56)/1000000*FX</f>
        <v>0.1480949509</v>
      </c>
      <c r="AC56" s="0" t="n">
        <f aca="false">(AGENT_S+V56*EXCH)*(T56*FX+U56)+EXCH*W56*X56*FX+Y56</f>
        <v>0.2341332</v>
      </c>
      <c r="AD56" s="0" t="n">
        <f aca="false">IF(Z56=1,((214*C56+S56+1000)*0.44+400*1.76)/1000000*FX/C56,0)</f>
        <v>0</v>
      </c>
      <c r="AE56" s="0" t="n">
        <f aca="false">AA56+AB56+AC56+AD56</f>
        <v>0.540561484233333</v>
      </c>
      <c r="AF56" s="0" t="n">
        <f aca="false">TEL*(C56+0.25)/C56</f>
        <v>0.4515</v>
      </c>
      <c r="AG56" s="0" t="n">
        <f aca="false">AE56+AF56+INFRA</f>
        <v>1.02206148423333</v>
      </c>
      <c r="AH56" s="0" t="n">
        <f aca="false">AG56/0.6</f>
        <v>1.70343580705556</v>
      </c>
      <c r="AI56" s="0" t="n">
        <f aca="false">AG56/0.5</f>
        <v>2.04412296846667</v>
      </c>
      <c r="AJ56" s="0" t="n">
        <f aca="false">AG56/0.4</f>
        <v>2.55515371058333</v>
      </c>
      <c r="AK56" s="0" t="n">
        <f aca="false">1-AG56/IF(GST_INCL=1,PRICE/(1+GST_RATE),PRICE)</f>
        <v>0.488969257883333</v>
      </c>
      <c r="AL56" s="0" t="n">
        <v>0.540561</v>
      </c>
      <c r="AM56" s="0" t="n">
        <f aca="false">AE56-AL56</f>
        <v>4.84233333319928E-007</v>
      </c>
    </row>
    <row r="57" customFormat="false" ht="15" hidden="false" customHeight="false" outlineLevel="0" collapsed="false">
      <c r="A57" s="0" t="s">
        <v>263</v>
      </c>
      <c r="B57" s="0" t="s">
        <v>264</v>
      </c>
      <c r="C57" s="0" t="n">
        <v>10</v>
      </c>
      <c r="D57" s="0" t="s">
        <v>239</v>
      </c>
      <c r="E57" s="0" t="n">
        <v>2.77777777777778E-005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0.07</v>
      </c>
      <c r="K57" s="0" t="n">
        <v>0.07</v>
      </c>
      <c r="L57" s="0" t="n">
        <v>0.34</v>
      </c>
      <c r="M57" s="0" t="n">
        <v>0</v>
      </c>
      <c r="N57" s="0" t="n">
        <v>1727</v>
      </c>
      <c r="O57" s="0" t="n">
        <v>51.3</v>
      </c>
      <c r="P57" s="0" t="n">
        <v>1.842</v>
      </c>
      <c r="Q57" s="0" t="n">
        <v>28.6</v>
      </c>
      <c r="R57" s="0" t="n">
        <v>1</v>
      </c>
      <c r="S57" s="0" t="n">
        <v>0</v>
      </c>
      <c r="T57" s="0" t="n">
        <v>0.00010269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f aca="false">IF(D57="full",60,IF(D57="gated",CALLER_S*GR,0))*(E57*FX+F57)+EXCH*G57*H57*FX+I57</f>
        <v>0.158333333333333</v>
      </c>
      <c r="AB57" s="0" t="n">
        <f aca="false">EXCH*R57*((N57+S57+O57*(MAX(EXCH*C57,1)-1)/2)*P57*((1-M57)*J57+M57*K57)+Q57*L57)/1000000*FX</f>
        <v>0.187369269025</v>
      </c>
      <c r="AC57" s="0" t="n">
        <f aca="false">(AGENT_S+V57*EXCH)*(T57*FX+U57)+EXCH*W57*X57*FX+Y57</f>
        <v>0.2341332</v>
      </c>
      <c r="AD57" s="0" t="n">
        <f aca="false">IF(Z57=1,((214*C57+S57+1000)*0.44+400*1.76)/1000000*FX/C57,0)</f>
        <v>0</v>
      </c>
      <c r="AE57" s="0" t="n">
        <f aca="false">AA57+AB57+AC57+AD57</f>
        <v>0.579835802358333</v>
      </c>
      <c r="AF57" s="0" t="n">
        <f aca="false">TEL*(C57+0.25)/C57</f>
        <v>0.44075</v>
      </c>
      <c r="AG57" s="0" t="n">
        <f aca="false">AE57+AF57+INFRA</f>
        <v>1.05058580235833</v>
      </c>
      <c r="AH57" s="0" t="n">
        <f aca="false">AG57/0.6</f>
        <v>1.75097633726389</v>
      </c>
      <c r="AI57" s="0" t="n">
        <f aca="false">AG57/0.5</f>
        <v>2.10117160471667</v>
      </c>
      <c r="AJ57" s="0" t="n">
        <f aca="false">AG57/0.4</f>
        <v>2.62646450589583</v>
      </c>
      <c r="AK57" s="0" t="n">
        <f aca="false">1-AG57/IF(GST_INCL=1,PRICE/(1+GST_RATE),PRICE)</f>
        <v>0.474707098820833</v>
      </c>
      <c r="AL57" s="0" t="n">
        <v>0.579836</v>
      </c>
      <c r="AM57" s="0" t="n">
        <f aca="false">AE57-AL57</f>
        <v>-1.97641666699333E-007</v>
      </c>
    </row>
    <row r="58" customFormat="false" ht="15" hidden="false" customHeight="false" outlineLevel="0" collapsed="false">
      <c r="A58" s="0" t="s">
        <v>265</v>
      </c>
      <c r="B58" s="0" t="s">
        <v>266</v>
      </c>
      <c r="C58" s="0" t="n">
        <v>1</v>
      </c>
      <c r="D58" s="0" t="s">
        <v>267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0.0467</v>
      </c>
      <c r="J58" s="0" t="n">
        <v>0.15</v>
      </c>
      <c r="K58" s="0" t="n">
        <v>0.075</v>
      </c>
      <c r="L58" s="0" t="n">
        <v>0.6</v>
      </c>
      <c r="M58" s="0" t="n">
        <v>0.831</v>
      </c>
      <c r="N58" s="0" t="n">
        <v>1773</v>
      </c>
      <c r="O58" s="0" t="n">
        <v>64.8</v>
      </c>
      <c r="P58" s="0" t="n">
        <v>1.864</v>
      </c>
      <c r="Q58" s="0" t="n">
        <v>76.5</v>
      </c>
      <c r="R58" s="0" t="n">
        <v>1.266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0.139</v>
      </c>
      <c r="Z58" s="0" t="n">
        <v>0</v>
      </c>
      <c r="AA58" s="0" t="n">
        <f aca="false">IF(D58="full",60,IF(D58="gated",CALLER_S*GR,0))*(E58*FX+F58)+EXCH*G58*H58*FX+I58</f>
        <v>0.0467</v>
      </c>
      <c r="AB58" s="0" t="n">
        <f aca="false">EXCH*R58*((N58+S58+O58*(MAX(EXCH*C58,1)-1)/2)*P58*((1-M58)*J58+M58*K58)+Q58*L58)/1000000*FX</f>
        <v>0.214582539700962</v>
      </c>
      <c r="AC58" s="0" t="n">
        <f aca="false">(AGENT_S+V58*EXCH)*(T58*FX+U58)+EXCH*W58*X58*FX+Y58</f>
        <v>0.139</v>
      </c>
      <c r="AD58" s="0" t="n">
        <f aca="false">IF(Z58=1,((214*C58+S58+1000)*0.44+400*1.76)/1000000*FX/C58,0)</f>
        <v>0</v>
      </c>
      <c r="AE58" s="0" t="n">
        <f aca="false">AA58+AB58+AC58+AD58</f>
        <v>0.400282539700962</v>
      </c>
      <c r="AF58" s="0" t="n">
        <f aca="false">TEL*(C58+0.25)/C58</f>
        <v>0.5375</v>
      </c>
      <c r="AG58" s="0" t="n">
        <f aca="false">AE58+AF58+INFRA</f>
        <v>0.967782539700962</v>
      </c>
      <c r="AH58" s="0" t="n">
        <f aca="false">AG58/0.6</f>
        <v>1.6129708995016</v>
      </c>
      <c r="AI58" s="0" t="n">
        <f aca="false">AG58/0.5</f>
        <v>1.93556507940192</v>
      </c>
      <c r="AJ58" s="0" t="n">
        <f aca="false">AG58/0.4</f>
        <v>2.41945634925241</v>
      </c>
      <c r="AK58" s="0" t="n">
        <f aca="false">1-AG58/IF(GST_INCL=1,PRICE/(1+GST_RATE),PRICE)</f>
        <v>0.516108730149519</v>
      </c>
      <c r="AL58" s="0" t="n">
        <v>0.400283</v>
      </c>
      <c r="AM58" s="0" t="n">
        <f aca="false">AE58-AL58</f>
        <v>-4.60299037996492E-007</v>
      </c>
    </row>
    <row r="59" customFormat="false" ht="15" hidden="false" customHeight="false" outlineLevel="0" collapsed="false">
      <c r="A59" s="0" t="s">
        <v>265</v>
      </c>
      <c r="B59" s="0" t="s">
        <v>266</v>
      </c>
      <c r="C59" s="0" t="n">
        <v>3</v>
      </c>
      <c r="D59" s="0" t="s">
        <v>267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0.0467</v>
      </c>
      <c r="J59" s="0" t="n">
        <v>0.15</v>
      </c>
      <c r="K59" s="0" t="n">
        <v>0.075</v>
      </c>
      <c r="L59" s="0" t="n">
        <v>0.6</v>
      </c>
      <c r="M59" s="0" t="n">
        <v>0.831</v>
      </c>
      <c r="N59" s="0" t="n">
        <v>1773</v>
      </c>
      <c r="O59" s="0" t="n">
        <v>64.8</v>
      </c>
      <c r="P59" s="0" t="n">
        <v>1.864</v>
      </c>
      <c r="Q59" s="0" t="n">
        <v>76.5</v>
      </c>
      <c r="R59" s="0" t="n">
        <v>1.266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0.139</v>
      </c>
      <c r="Z59" s="0" t="n">
        <v>0</v>
      </c>
      <c r="AA59" s="0" t="n">
        <f aca="false">IF(D59="full",60,IF(D59="gated",CALLER_S*GR,0))*(E59*FX+F59)+EXCH*G59*H59*FX+I59</f>
        <v>0.0467</v>
      </c>
      <c r="AB59" s="0" t="n">
        <f aca="false">EXCH*R59*((N59+S59+O59*(MAX(EXCH*C59,1)-1)/2)*P59*((1-M59)*J59+M59*K59)+Q59*L59)/1000000*FX</f>
        <v>0.246424075600842</v>
      </c>
      <c r="AC59" s="0" t="n">
        <f aca="false">(AGENT_S+V59*EXCH)*(T59*FX+U59)+EXCH*W59*X59*FX+Y59</f>
        <v>0.139</v>
      </c>
      <c r="AD59" s="0" t="n">
        <f aca="false">IF(Z59=1,((214*C59+S59+1000)*0.44+400*1.76)/1000000*FX/C59,0)</f>
        <v>0</v>
      </c>
      <c r="AE59" s="0" t="n">
        <f aca="false">AA59+AB59+AC59+AD59</f>
        <v>0.432124075600842</v>
      </c>
      <c r="AF59" s="0" t="n">
        <f aca="false">TEL*(C59+0.25)/C59</f>
        <v>0.465833333333333</v>
      </c>
      <c r="AG59" s="0" t="n">
        <f aca="false">AE59+AF59+INFRA</f>
        <v>0.927957408934175</v>
      </c>
      <c r="AH59" s="0" t="n">
        <f aca="false">AG59/0.6</f>
        <v>1.54659568155696</v>
      </c>
      <c r="AI59" s="0" t="n">
        <f aca="false">AG59/0.5</f>
        <v>1.85591481786835</v>
      </c>
      <c r="AJ59" s="0" t="n">
        <f aca="false">AG59/0.4</f>
        <v>2.31989352233544</v>
      </c>
      <c r="AK59" s="0" t="n">
        <f aca="false">1-AG59/IF(GST_INCL=1,PRICE/(1+GST_RATE),PRICE)</f>
        <v>0.536021295532912</v>
      </c>
      <c r="AL59" s="0" t="n">
        <v>0.432124</v>
      </c>
      <c r="AM59" s="0" t="n">
        <f aca="false">AE59-AL59</f>
        <v>7.5600842031065E-008</v>
      </c>
    </row>
    <row r="60" customFormat="false" ht="15" hidden="false" customHeight="false" outlineLevel="0" collapsed="false">
      <c r="A60" s="0" t="s">
        <v>265</v>
      </c>
      <c r="B60" s="0" t="s">
        <v>266</v>
      </c>
      <c r="C60" s="0" t="n">
        <v>5</v>
      </c>
      <c r="D60" s="0" t="s">
        <v>267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0.0467</v>
      </c>
      <c r="J60" s="0" t="n">
        <v>0.15</v>
      </c>
      <c r="K60" s="0" t="n">
        <v>0.075</v>
      </c>
      <c r="L60" s="0" t="n">
        <v>0.6</v>
      </c>
      <c r="M60" s="0" t="n">
        <v>0.831</v>
      </c>
      <c r="N60" s="0" t="n">
        <v>1773</v>
      </c>
      <c r="O60" s="0" t="n">
        <v>64.8</v>
      </c>
      <c r="P60" s="0" t="n">
        <v>1.864</v>
      </c>
      <c r="Q60" s="0" t="n">
        <v>76.5</v>
      </c>
      <c r="R60" s="0" t="n">
        <v>1.266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0.139</v>
      </c>
      <c r="Z60" s="0" t="n">
        <v>0</v>
      </c>
      <c r="AA60" s="0" t="n">
        <f aca="false">IF(D60="full",60,IF(D60="gated",CALLER_S*GR,0))*(E60*FX+F60)+EXCH*G60*H60*FX+I60</f>
        <v>0.0467</v>
      </c>
      <c r="AB60" s="0" t="n">
        <f aca="false">EXCH*R60*((N60+S60+O60*(MAX(EXCH*C60,1)-1)/2)*P60*((1-M60)*J60+M60*K60)+Q60*L60)/1000000*FX</f>
        <v>0.278265611500722</v>
      </c>
      <c r="AC60" s="0" t="n">
        <f aca="false">(AGENT_S+V60*EXCH)*(T60*FX+U60)+EXCH*W60*X60*FX+Y60</f>
        <v>0.139</v>
      </c>
      <c r="AD60" s="0" t="n">
        <f aca="false">IF(Z60=1,((214*C60+S60+1000)*0.44+400*1.76)/1000000*FX/C60,0)</f>
        <v>0</v>
      </c>
      <c r="AE60" s="0" t="n">
        <f aca="false">AA60+AB60+AC60+AD60</f>
        <v>0.463965611500722</v>
      </c>
      <c r="AF60" s="0" t="n">
        <f aca="false">TEL*(C60+0.25)/C60</f>
        <v>0.4515</v>
      </c>
      <c r="AG60" s="0" t="n">
        <f aca="false">AE60+AF60+INFRA</f>
        <v>0.945465611500722</v>
      </c>
      <c r="AH60" s="0" t="n">
        <f aca="false">AG60/0.6</f>
        <v>1.57577601916787</v>
      </c>
      <c r="AI60" s="0" t="n">
        <f aca="false">AG60/0.5</f>
        <v>1.89093122300144</v>
      </c>
      <c r="AJ60" s="0" t="n">
        <f aca="false">AG60/0.4</f>
        <v>2.36366402875181</v>
      </c>
      <c r="AK60" s="0" t="n">
        <f aca="false">1-AG60/IF(GST_INCL=1,PRICE/(1+GST_RATE),PRICE)</f>
        <v>0.527267194249639</v>
      </c>
      <c r="AL60" s="0" t="n">
        <v>0.463966</v>
      </c>
      <c r="AM60" s="0" t="n">
        <f aca="false">AE60-AL60</f>
        <v>-3.88499277970134E-007</v>
      </c>
    </row>
    <row r="61" customFormat="false" ht="15" hidden="false" customHeight="false" outlineLevel="0" collapsed="false">
      <c r="A61" s="0" t="s">
        <v>265</v>
      </c>
      <c r="B61" s="0" t="s">
        <v>266</v>
      </c>
      <c r="C61" s="0" t="n">
        <v>10</v>
      </c>
      <c r="D61" s="0" t="s">
        <v>267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0.0467</v>
      </c>
      <c r="J61" s="0" t="n">
        <v>0.15</v>
      </c>
      <c r="K61" s="0" t="n">
        <v>0.075</v>
      </c>
      <c r="L61" s="0" t="n">
        <v>0.6</v>
      </c>
      <c r="M61" s="0" t="n">
        <v>0.831</v>
      </c>
      <c r="N61" s="0" t="n">
        <v>1773</v>
      </c>
      <c r="O61" s="0" t="n">
        <v>64.8</v>
      </c>
      <c r="P61" s="0" t="n">
        <v>1.864</v>
      </c>
      <c r="Q61" s="0" t="n">
        <v>76.5</v>
      </c>
      <c r="R61" s="0" t="n">
        <v>1.266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0.139</v>
      </c>
      <c r="Z61" s="0" t="n">
        <v>0</v>
      </c>
      <c r="AA61" s="0" t="n">
        <f aca="false">IF(D61="full",60,IF(D61="gated",CALLER_S*GR,0))*(E61*FX+F61)+EXCH*G61*H61*FX+I61</f>
        <v>0.0467</v>
      </c>
      <c r="AB61" s="0" t="n">
        <f aca="false">EXCH*R61*((N61+S61+O61*(MAX(EXCH*C61,1)-1)/2)*P61*((1-M61)*J61+M61*K61)+Q61*L61)/1000000*FX</f>
        <v>0.357869451250422</v>
      </c>
      <c r="AC61" s="0" t="n">
        <f aca="false">(AGENT_S+V61*EXCH)*(T61*FX+U61)+EXCH*W61*X61*FX+Y61</f>
        <v>0.139</v>
      </c>
      <c r="AD61" s="0" t="n">
        <f aca="false">IF(Z61=1,((214*C61+S61+1000)*0.44+400*1.76)/1000000*FX/C61,0)</f>
        <v>0</v>
      </c>
      <c r="AE61" s="0" t="n">
        <f aca="false">AA61+AB61+AC61+AD61</f>
        <v>0.543569451250422</v>
      </c>
      <c r="AF61" s="0" t="n">
        <f aca="false">TEL*(C61+0.25)/C61</f>
        <v>0.44075</v>
      </c>
      <c r="AG61" s="0" t="n">
        <f aca="false">AE61+AF61+INFRA</f>
        <v>1.01431945125042</v>
      </c>
      <c r="AH61" s="0" t="n">
        <f aca="false">AG61/0.6</f>
        <v>1.6905324187507</v>
      </c>
      <c r="AI61" s="0" t="n">
        <f aca="false">AG61/0.5</f>
        <v>2.02863890250084</v>
      </c>
      <c r="AJ61" s="0" t="n">
        <f aca="false">AG61/0.4</f>
        <v>2.53579862812606</v>
      </c>
      <c r="AK61" s="0" t="n">
        <f aca="false">1-AG61/IF(GST_INCL=1,PRICE/(1+GST_RATE),PRICE)</f>
        <v>0.492840274374789</v>
      </c>
      <c r="AL61" s="0" t="n">
        <v>0.543569</v>
      </c>
      <c r="AM61" s="0" t="n">
        <f aca="false">AE61-AL61</f>
        <v>4.51250422139893E-007</v>
      </c>
    </row>
    <row r="62" customFormat="false" ht="15" hidden="false" customHeight="false" outlineLevel="0" collapsed="false">
      <c r="A62" s="0" t="s">
        <v>268</v>
      </c>
      <c r="B62" s="0" t="s">
        <v>269</v>
      </c>
      <c r="C62" s="0" t="n">
        <v>1</v>
      </c>
      <c r="D62" s="0" t="s">
        <v>242</v>
      </c>
      <c r="E62" s="0" t="n">
        <v>8.75E-005</v>
      </c>
      <c r="F62" s="0" t="n">
        <v>0</v>
      </c>
      <c r="G62" s="0" t="n">
        <v>14.6</v>
      </c>
      <c r="H62" s="0" t="n">
        <v>2.1E-005</v>
      </c>
      <c r="I62" s="0" t="n">
        <v>0</v>
      </c>
      <c r="J62" s="0" t="n">
        <v>0.15</v>
      </c>
      <c r="K62" s="0" t="n">
        <v>0.075</v>
      </c>
      <c r="L62" s="0" t="n">
        <v>0.6</v>
      </c>
      <c r="M62" s="0" t="n">
        <v>0.851</v>
      </c>
      <c r="N62" s="0" t="n">
        <v>1920</v>
      </c>
      <c r="O62" s="0" t="n">
        <v>40.3</v>
      </c>
      <c r="P62" s="0" t="n">
        <v>1.793</v>
      </c>
      <c r="Q62" s="0" t="n">
        <v>66.7</v>
      </c>
      <c r="R62" s="0" t="n">
        <v>1.266</v>
      </c>
      <c r="S62" s="0" t="n">
        <v>1000</v>
      </c>
      <c r="T62" s="0" t="n">
        <v>0.0001449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f aca="false">IF(D62="full",60,IF(D62="gated",CALLER_S*GR,0))*(E62*FX+F62)+EXCH*G62*H62*FX+I62</f>
        <v>0.382242</v>
      </c>
      <c r="AB62" s="0" t="n">
        <f aca="false">EXCH*R62*((N62+S62+O62*(MAX(EXCH*C62,1)-1)/2)*P62*((1-M62)*J62+M62*K62)+Q62*L62)/1000000*FX</f>
        <v>0.302868744082288</v>
      </c>
      <c r="AC62" s="0" t="n">
        <f aca="false">(AGENT_S+V62*EXCH)*(T62*FX+U62)+EXCH*W62*X62*FX+Y62</f>
        <v>0.330372</v>
      </c>
      <c r="AD62" s="0" t="n">
        <f aca="false">IF(Z62=1,((214*C62+S62+1000)*0.44+400*1.76)/1000000*FX/C62,0)</f>
        <v>0</v>
      </c>
      <c r="AE62" s="0" t="n">
        <f aca="false">AA62+AB62+AC62+AD62</f>
        <v>1.01548274408229</v>
      </c>
      <c r="AF62" s="0" t="n">
        <f aca="false">TEL*(C62+0.25)/C62</f>
        <v>0.5375</v>
      </c>
      <c r="AG62" s="0" t="n">
        <f aca="false">AE62+AF62+INFRA</f>
        <v>1.58298274408229</v>
      </c>
      <c r="AH62" s="0" t="n">
        <f aca="false">AG62/0.6</f>
        <v>2.63830457347048</v>
      </c>
      <c r="AI62" s="0" t="n">
        <f aca="false">AG62/0.5</f>
        <v>3.16596548816458</v>
      </c>
      <c r="AJ62" s="0" t="n">
        <f aca="false">AG62/0.4</f>
        <v>3.95745686020572</v>
      </c>
      <c r="AK62" s="0" t="n">
        <f aca="false">1-AG62/IF(GST_INCL=1,PRICE/(1+GST_RATE),PRICE)</f>
        <v>0.208508627958856</v>
      </c>
      <c r="AL62" s="0" t="n">
        <v>1.015483</v>
      </c>
      <c r="AM62" s="0" t="n">
        <f aca="false">AE62-AL62</f>
        <v>-2.55917712133069E-007</v>
      </c>
    </row>
    <row r="63" customFormat="false" ht="15" hidden="false" customHeight="false" outlineLevel="0" collapsed="false">
      <c r="A63" s="0" t="s">
        <v>268</v>
      </c>
      <c r="B63" s="0" t="s">
        <v>269</v>
      </c>
      <c r="C63" s="0" t="n">
        <v>3</v>
      </c>
      <c r="D63" s="0" t="s">
        <v>242</v>
      </c>
      <c r="E63" s="0" t="n">
        <v>8.75E-005</v>
      </c>
      <c r="F63" s="0" t="n">
        <v>0</v>
      </c>
      <c r="G63" s="0" t="n">
        <v>14.6</v>
      </c>
      <c r="H63" s="0" t="n">
        <v>2.1E-005</v>
      </c>
      <c r="I63" s="0" t="n">
        <v>0</v>
      </c>
      <c r="J63" s="0" t="n">
        <v>0.15</v>
      </c>
      <c r="K63" s="0" t="n">
        <v>0.075</v>
      </c>
      <c r="L63" s="0" t="n">
        <v>0.6</v>
      </c>
      <c r="M63" s="0" t="n">
        <v>0.851</v>
      </c>
      <c r="N63" s="0" t="n">
        <v>1920</v>
      </c>
      <c r="O63" s="0" t="n">
        <v>40.3</v>
      </c>
      <c r="P63" s="0" t="n">
        <v>1.793</v>
      </c>
      <c r="Q63" s="0" t="n">
        <v>66.7</v>
      </c>
      <c r="R63" s="0" t="n">
        <v>1.266</v>
      </c>
      <c r="S63" s="0" t="n">
        <v>1000</v>
      </c>
      <c r="T63" s="0" t="n">
        <v>0.0001449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f aca="false">IF(D63="full",60,IF(D63="gated",CALLER_S*GR,0))*(E63*FX+F63)+EXCH*G63*H63*FX+I63</f>
        <v>0.382242</v>
      </c>
      <c r="AB63" s="0" t="n">
        <f aca="false">EXCH*R63*((N63+S63+O63*(MAX(EXCH*C63,1)-1)/2)*P63*((1-M63)*J63+M63*K63)+Q63*L63)/1000000*FX</f>
        <v>0.321591248745382</v>
      </c>
      <c r="AC63" s="0" t="n">
        <f aca="false">(AGENT_S+V63*EXCH)*(T63*FX+U63)+EXCH*W63*X63*FX+Y63</f>
        <v>0.330372</v>
      </c>
      <c r="AD63" s="0" t="n">
        <f aca="false">IF(Z63=1,((214*C63+S63+1000)*0.44+400*1.76)/1000000*FX/C63,0)</f>
        <v>0</v>
      </c>
      <c r="AE63" s="0" t="n">
        <f aca="false">AA63+AB63+AC63+AD63</f>
        <v>1.03420524874538</v>
      </c>
      <c r="AF63" s="0" t="n">
        <f aca="false">TEL*(C63+0.25)/C63</f>
        <v>0.465833333333333</v>
      </c>
      <c r="AG63" s="0" t="n">
        <f aca="false">AE63+AF63+INFRA</f>
        <v>1.53003858207872</v>
      </c>
      <c r="AH63" s="0" t="n">
        <f aca="false">AG63/0.6</f>
        <v>2.55006430346453</v>
      </c>
      <c r="AI63" s="0" t="n">
        <f aca="false">AG63/0.5</f>
        <v>3.06007716415743</v>
      </c>
      <c r="AJ63" s="0" t="n">
        <f aca="false">AG63/0.4</f>
        <v>3.82509645519679</v>
      </c>
      <c r="AK63" s="0" t="n">
        <f aca="false">1-AG63/IF(GST_INCL=1,PRICE/(1+GST_RATE),PRICE)</f>
        <v>0.234980708960642</v>
      </c>
      <c r="AL63" s="0" t="n">
        <v>1.034205</v>
      </c>
      <c r="AM63" s="0" t="n">
        <f aca="false">AE63-AL63</f>
        <v>2.4874538206987E-007</v>
      </c>
    </row>
    <row r="64" customFormat="false" ht="15" hidden="false" customHeight="false" outlineLevel="0" collapsed="false">
      <c r="A64" s="0" t="s">
        <v>268</v>
      </c>
      <c r="B64" s="0" t="s">
        <v>269</v>
      </c>
      <c r="C64" s="0" t="n">
        <v>5</v>
      </c>
      <c r="D64" s="0" t="s">
        <v>242</v>
      </c>
      <c r="E64" s="0" t="n">
        <v>8.75E-005</v>
      </c>
      <c r="F64" s="0" t="n">
        <v>0</v>
      </c>
      <c r="G64" s="0" t="n">
        <v>14.6</v>
      </c>
      <c r="H64" s="0" t="n">
        <v>2.1E-005</v>
      </c>
      <c r="I64" s="0" t="n">
        <v>0</v>
      </c>
      <c r="J64" s="0" t="n">
        <v>0.15</v>
      </c>
      <c r="K64" s="0" t="n">
        <v>0.075</v>
      </c>
      <c r="L64" s="0" t="n">
        <v>0.6</v>
      </c>
      <c r="M64" s="0" t="n">
        <v>0.851</v>
      </c>
      <c r="N64" s="0" t="n">
        <v>1920</v>
      </c>
      <c r="O64" s="0" t="n">
        <v>40.3</v>
      </c>
      <c r="P64" s="0" t="n">
        <v>1.793</v>
      </c>
      <c r="Q64" s="0" t="n">
        <v>66.7</v>
      </c>
      <c r="R64" s="0" t="n">
        <v>1.266</v>
      </c>
      <c r="S64" s="0" t="n">
        <v>1000</v>
      </c>
      <c r="T64" s="0" t="n">
        <v>0.0001449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f aca="false">IF(D64="full",60,IF(D64="gated",CALLER_S*GR,0))*(E64*FX+F64)+EXCH*G64*H64*FX+I64</f>
        <v>0.382242</v>
      </c>
      <c r="AB64" s="0" t="n">
        <f aca="false">EXCH*R64*((N64+S64+O64*(MAX(EXCH*C64,1)-1)/2)*P64*((1-M64)*J64+M64*K64)+Q64*L64)/1000000*FX</f>
        <v>0.340313753408476</v>
      </c>
      <c r="AC64" s="0" t="n">
        <f aca="false">(AGENT_S+V64*EXCH)*(T64*FX+U64)+EXCH*W64*X64*FX+Y64</f>
        <v>0.330372</v>
      </c>
      <c r="AD64" s="0" t="n">
        <f aca="false">IF(Z64=1,((214*C64+S64+1000)*0.44+400*1.76)/1000000*FX/C64,0)</f>
        <v>0</v>
      </c>
      <c r="AE64" s="0" t="n">
        <f aca="false">AA64+AB64+AC64+AD64</f>
        <v>1.05292775340848</v>
      </c>
      <c r="AF64" s="0" t="n">
        <f aca="false">TEL*(C64+0.25)/C64</f>
        <v>0.4515</v>
      </c>
      <c r="AG64" s="0" t="n">
        <f aca="false">AE64+AF64+INFRA</f>
        <v>1.53442775340848</v>
      </c>
      <c r="AH64" s="0" t="n">
        <f aca="false">AG64/0.6</f>
        <v>2.55737958901413</v>
      </c>
      <c r="AI64" s="0" t="n">
        <f aca="false">AG64/0.5</f>
        <v>3.06885550681695</v>
      </c>
      <c r="AJ64" s="0" t="n">
        <f aca="false">AG64/0.4</f>
        <v>3.83606938352119</v>
      </c>
      <c r="AK64" s="0" t="n">
        <f aca="false">1-AG64/IF(GST_INCL=1,PRICE/(1+GST_RATE),PRICE)</f>
        <v>0.232786123295762</v>
      </c>
      <c r="AL64" s="0" t="n">
        <v>1.052928</v>
      </c>
      <c r="AM64" s="0" t="n">
        <f aca="false">AE64-AL64</f>
        <v>-2.46591523644923E-007</v>
      </c>
    </row>
    <row r="65" customFormat="false" ht="15" hidden="false" customHeight="false" outlineLevel="0" collapsed="false">
      <c r="A65" s="0" t="s">
        <v>268</v>
      </c>
      <c r="B65" s="0" t="s">
        <v>269</v>
      </c>
      <c r="C65" s="0" t="n">
        <v>10</v>
      </c>
      <c r="D65" s="0" t="s">
        <v>242</v>
      </c>
      <c r="E65" s="0" t="n">
        <v>8.75E-005</v>
      </c>
      <c r="F65" s="0" t="n">
        <v>0</v>
      </c>
      <c r="G65" s="0" t="n">
        <v>14.6</v>
      </c>
      <c r="H65" s="0" t="n">
        <v>2.1E-005</v>
      </c>
      <c r="I65" s="0" t="n">
        <v>0</v>
      </c>
      <c r="J65" s="0" t="n">
        <v>0.15</v>
      </c>
      <c r="K65" s="0" t="n">
        <v>0.075</v>
      </c>
      <c r="L65" s="0" t="n">
        <v>0.6</v>
      </c>
      <c r="M65" s="0" t="n">
        <v>0.851</v>
      </c>
      <c r="N65" s="0" t="n">
        <v>1920</v>
      </c>
      <c r="O65" s="0" t="n">
        <v>40.3</v>
      </c>
      <c r="P65" s="0" t="n">
        <v>1.793</v>
      </c>
      <c r="Q65" s="0" t="n">
        <v>66.7</v>
      </c>
      <c r="R65" s="0" t="n">
        <v>1.266</v>
      </c>
      <c r="S65" s="0" t="n">
        <v>1000</v>
      </c>
      <c r="T65" s="0" t="n">
        <v>0.0001449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f aca="false">IF(D65="full",60,IF(D65="gated",CALLER_S*GR,0))*(E65*FX+F65)+EXCH*G65*H65*FX+I65</f>
        <v>0.382242</v>
      </c>
      <c r="AB65" s="0" t="n">
        <f aca="false">EXCH*R65*((N65+S65+O65*(MAX(EXCH*C65,1)-1)/2)*P65*((1-M65)*J65+M65*K65)+Q65*L65)/1000000*FX</f>
        <v>0.387120015066212</v>
      </c>
      <c r="AC65" s="0" t="n">
        <f aca="false">(AGENT_S+V65*EXCH)*(T65*FX+U65)+EXCH*W65*X65*FX+Y65</f>
        <v>0.330372</v>
      </c>
      <c r="AD65" s="0" t="n">
        <f aca="false">IF(Z65=1,((214*C65+S65+1000)*0.44+400*1.76)/1000000*FX/C65,0)</f>
        <v>0</v>
      </c>
      <c r="AE65" s="0" t="n">
        <f aca="false">AA65+AB65+AC65+AD65</f>
        <v>1.09973401506621</v>
      </c>
      <c r="AF65" s="0" t="n">
        <f aca="false">TEL*(C65+0.25)/C65</f>
        <v>0.44075</v>
      </c>
      <c r="AG65" s="0" t="n">
        <f aca="false">AE65+AF65+INFRA</f>
        <v>1.57048401506621</v>
      </c>
      <c r="AH65" s="0" t="n">
        <f aca="false">AG65/0.6</f>
        <v>2.61747335844369</v>
      </c>
      <c r="AI65" s="0" t="n">
        <f aca="false">AG65/0.5</f>
        <v>3.14096803013243</v>
      </c>
      <c r="AJ65" s="0" t="n">
        <f aca="false">AG65/0.4</f>
        <v>3.92621003766553</v>
      </c>
      <c r="AK65" s="0" t="n">
        <f aca="false">1-AG65/IF(GST_INCL=1,PRICE/(1+GST_RATE),PRICE)</f>
        <v>0.214757992466894</v>
      </c>
      <c r="AL65" s="0" t="n">
        <v>1.099734</v>
      </c>
      <c r="AM65" s="0" t="n">
        <f aca="false">AE65-AL65</f>
        <v>1.50662124998036E-008</v>
      </c>
    </row>
    <row r="66" customFormat="false" ht="15" hidden="false" customHeight="false" outlineLevel="0" collapsed="false">
      <c r="A66" s="0" t="s">
        <v>270</v>
      </c>
      <c r="B66" s="0" t="s">
        <v>271</v>
      </c>
      <c r="C66" s="0" t="n">
        <v>1</v>
      </c>
      <c r="D66" s="0" t="s">
        <v>242</v>
      </c>
      <c r="E66" s="0" t="n">
        <v>8.75E-005</v>
      </c>
      <c r="F66" s="0" t="n">
        <v>0</v>
      </c>
      <c r="G66" s="0" t="n">
        <v>14.6</v>
      </c>
      <c r="H66" s="0" t="n">
        <v>2.1E-005</v>
      </c>
      <c r="I66" s="0" t="n">
        <v>0</v>
      </c>
      <c r="J66" s="0" t="n">
        <v>0.15</v>
      </c>
      <c r="K66" s="0" t="n">
        <v>0.075</v>
      </c>
      <c r="L66" s="0" t="n">
        <v>0.6</v>
      </c>
      <c r="M66" s="0" t="n">
        <v>0.851</v>
      </c>
      <c r="N66" s="0" t="n">
        <v>1920</v>
      </c>
      <c r="O66" s="0" t="n">
        <v>40.3</v>
      </c>
      <c r="P66" s="0" t="n">
        <v>1.793</v>
      </c>
      <c r="Q66" s="0" t="n">
        <v>66.7</v>
      </c>
      <c r="R66" s="0" t="n">
        <v>1.266</v>
      </c>
      <c r="S66" s="0" t="n">
        <v>1000</v>
      </c>
      <c r="T66" s="0" t="n">
        <v>0.00037796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f aca="false">IF(D66="full",60,IF(D66="gated",CALLER_S*GR,0))*(E66*FX+F66)+EXCH*G66*H66*FX+I66</f>
        <v>0.382242</v>
      </c>
      <c r="AB66" s="0" t="n">
        <f aca="false">EXCH*R66*((N66+S66+O66*(MAX(EXCH*C66,1)-1)/2)*P66*((1-M66)*J66+M66*K66)+Q66*L66)/1000000*FX</f>
        <v>0.302868744082288</v>
      </c>
      <c r="AC66" s="0" t="n">
        <f aca="false">(AGENT_S+V66*EXCH)*(T66*FX+U66)+EXCH*W66*X66*FX+Y66</f>
        <v>0.8617488</v>
      </c>
      <c r="AD66" s="0" t="n">
        <f aca="false">IF(Z66=1,((214*C66+S66+1000)*0.44+400*1.76)/1000000*FX/C66,0)</f>
        <v>0</v>
      </c>
      <c r="AE66" s="0" t="n">
        <f aca="false">AA66+AB66+AC66+AD66</f>
        <v>1.54685954408229</v>
      </c>
      <c r="AF66" s="0" t="n">
        <f aca="false">TEL*(C66+0.25)/C66</f>
        <v>0.5375</v>
      </c>
      <c r="AG66" s="0" t="n">
        <f aca="false">AE66+AF66+INFRA</f>
        <v>2.11435954408229</v>
      </c>
      <c r="AH66" s="0" t="n">
        <f aca="false">AG66/0.6</f>
        <v>3.52393257347048</v>
      </c>
      <c r="AI66" s="0" t="n">
        <f aca="false">AG66/0.5</f>
        <v>4.22871908816458</v>
      </c>
      <c r="AJ66" s="0" t="n">
        <f aca="false">AG66/0.4</f>
        <v>5.28589886020572</v>
      </c>
      <c r="AK66" s="0" t="n">
        <f aca="false">1-AG66/IF(GST_INCL=1,PRICE/(1+GST_RATE),PRICE)</f>
        <v>-0.0571797720411438</v>
      </c>
      <c r="AL66" s="0" t="n">
        <v>1.54686</v>
      </c>
      <c r="AM66" s="0" t="n">
        <f aca="false">AE66-AL66</f>
        <v>-4.55917712249843E-007</v>
      </c>
    </row>
    <row r="67" customFormat="false" ht="15" hidden="false" customHeight="false" outlineLevel="0" collapsed="false">
      <c r="A67" s="0" t="s">
        <v>270</v>
      </c>
      <c r="B67" s="0" t="s">
        <v>271</v>
      </c>
      <c r="C67" s="0" t="n">
        <v>3</v>
      </c>
      <c r="D67" s="0" t="s">
        <v>242</v>
      </c>
      <c r="E67" s="0" t="n">
        <v>8.75E-005</v>
      </c>
      <c r="F67" s="0" t="n">
        <v>0</v>
      </c>
      <c r="G67" s="0" t="n">
        <v>14.6</v>
      </c>
      <c r="H67" s="0" t="n">
        <v>2.1E-005</v>
      </c>
      <c r="I67" s="0" t="n">
        <v>0</v>
      </c>
      <c r="J67" s="0" t="n">
        <v>0.15</v>
      </c>
      <c r="K67" s="0" t="n">
        <v>0.075</v>
      </c>
      <c r="L67" s="0" t="n">
        <v>0.6</v>
      </c>
      <c r="M67" s="0" t="n">
        <v>0.851</v>
      </c>
      <c r="N67" s="0" t="n">
        <v>1920</v>
      </c>
      <c r="O67" s="0" t="n">
        <v>40.3</v>
      </c>
      <c r="P67" s="0" t="n">
        <v>1.793</v>
      </c>
      <c r="Q67" s="0" t="n">
        <v>66.7</v>
      </c>
      <c r="R67" s="0" t="n">
        <v>1.266</v>
      </c>
      <c r="S67" s="0" t="n">
        <v>1000</v>
      </c>
      <c r="T67" s="0" t="n">
        <v>0.00037796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f aca="false">IF(D67="full",60,IF(D67="gated",CALLER_S*GR,0))*(E67*FX+F67)+EXCH*G67*H67*FX+I67</f>
        <v>0.382242</v>
      </c>
      <c r="AB67" s="0" t="n">
        <f aca="false">EXCH*R67*((N67+S67+O67*(MAX(EXCH*C67,1)-1)/2)*P67*((1-M67)*J67+M67*K67)+Q67*L67)/1000000*FX</f>
        <v>0.321591248745382</v>
      </c>
      <c r="AC67" s="0" t="n">
        <f aca="false">(AGENT_S+V67*EXCH)*(T67*FX+U67)+EXCH*W67*X67*FX+Y67</f>
        <v>0.8617488</v>
      </c>
      <c r="AD67" s="0" t="n">
        <f aca="false">IF(Z67=1,((214*C67+S67+1000)*0.44+400*1.76)/1000000*FX/C67,0)</f>
        <v>0</v>
      </c>
      <c r="AE67" s="0" t="n">
        <f aca="false">AA67+AB67+AC67+AD67</f>
        <v>1.56558204874538</v>
      </c>
      <c r="AF67" s="0" t="n">
        <f aca="false">TEL*(C67+0.25)/C67</f>
        <v>0.465833333333333</v>
      </c>
      <c r="AG67" s="0" t="n">
        <f aca="false">AE67+AF67+INFRA</f>
        <v>2.06141538207872</v>
      </c>
      <c r="AH67" s="0" t="n">
        <f aca="false">AG67/0.6</f>
        <v>3.43569230346453</v>
      </c>
      <c r="AI67" s="0" t="n">
        <f aca="false">AG67/0.5</f>
        <v>4.12283076415743</v>
      </c>
      <c r="AJ67" s="0" t="n">
        <f aca="false">AG67/0.4</f>
        <v>5.15353845519679</v>
      </c>
      <c r="AK67" s="0" t="n">
        <f aca="false">1-AG67/IF(GST_INCL=1,PRICE/(1+GST_RATE),PRICE)</f>
        <v>-0.0307076910393576</v>
      </c>
      <c r="AL67" s="0" t="n">
        <v>1.565582</v>
      </c>
      <c r="AM67" s="0" t="n">
        <f aca="false">AE67-AL67</f>
        <v>4.8745381953097E-008</v>
      </c>
    </row>
    <row r="68" customFormat="false" ht="15" hidden="false" customHeight="false" outlineLevel="0" collapsed="false">
      <c r="A68" s="0" t="s">
        <v>270</v>
      </c>
      <c r="B68" s="0" t="s">
        <v>271</v>
      </c>
      <c r="C68" s="0" t="n">
        <v>5</v>
      </c>
      <c r="D68" s="0" t="s">
        <v>242</v>
      </c>
      <c r="E68" s="0" t="n">
        <v>8.75E-005</v>
      </c>
      <c r="F68" s="0" t="n">
        <v>0</v>
      </c>
      <c r="G68" s="0" t="n">
        <v>14.6</v>
      </c>
      <c r="H68" s="0" t="n">
        <v>2.1E-005</v>
      </c>
      <c r="I68" s="0" t="n">
        <v>0</v>
      </c>
      <c r="J68" s="0" t="n">
        <v>0.15</v>
      </c>
      <c r="K68" s="0" t="n">
        <v>0.075</v>
      </c>
      <c r="L68" s="0" t="n">
        <v>0.6</v>
      </c>
      <c r="M68" s="0" t="n">
        <v>0.851</v>
      </c>
      <c r="N68" s="0" t="n">
        <v>1920</v>
      </c>
      <c r="O68" s="0" t="n">
        <v>40.3</v>
      </c>
      <c r="P68" s="0" t="n">
        <v>1.793</v>
      </c>
      <c r="Q68" s="0" t="n">
        <v>66.7</v>
      </c>
      <c r="R68" s="0" t="n">
        <v>1.266</v>
      </c>
      <c r="S68" s="0" t="n">
        <v>1000</v>
      </c>
      <c r="T68" s="0" t="n">
        <v>0.00037796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f aca="false">IF(D68="full",60,IF(D68="gated",CALLER_S*GR,0))*(E68*FX+F68)+EXCH*G68*H68*FX+I68</f>
        <v>0.382242</v>
      </c>
      <c r="AB68" s="0" t="n">
        <f aca="false">EXCH*R68*((N68+S68+O68*(MAX(EXCH*C68,1)-1)/2)*P68*((1-M68)*J68+M68*K68)+Q68*L68)/1000000*FX</f>
        <v>0.340313753408476</v>
      </c>
      <c r="AC68" s="0" t="n">
        <f aca="false">(AGENT_S+V68*EXCH)*(T68*FX+U68)+EXCH*W68*X68*FX+Y68</f>
        <v>0.8617488</v>
      </c>
      <c r="AD68" s="0" t="n">
        <f aca="false">IF(Z68=1,((214*C68+S68+1000)*0.44+400*1.76)/1000000*FX/C68,0)</f>
        <v>0</v>
      </c>
      <c r="AE68" s="0" t="n">
        <f aca="false">AA68+AB68+AC68+AD68</f>
        <v>1.58430455340848</v>
      </c>
      <c r="AF68" s="0" t="n">
        <f aca="false">TEL*(C68+0.25)/C68</f>
        <v>0.4515</v>
      </c>
      <c r="AG68" s="0" t="n">
        <f aca="false">AE68+AF68+INFRA</f>
        <v>2.06580455340848</v>
      </c>
      <c r="AH68" s="0" t="n">
        <f aca="false">AG68/0.6</f>
        <v>3.44300758901413</v>
      </c>
      <c r="AI68" s="0" t="n">
        <f aca="false">AG68/0.5</f>
        <v>4.13160910681695</v>
      </c>
      <c r="AJ68" s="0" t="n">
        <f aca="false">AG68/0.4</f>
        <v>5.16451138352119</v>
      </c>
      <c r="AK68" s="0" t="n">
        <f aca="false">1-AG68/IF(GST_INCL=1,PRICE/(1+GST_RATE),PRICE)</f>
        <v>-0.032902276704238</v>
      </c>
      <c r="AL68" s="0" t="n">
        <v>1.584305</v>
      </c>
      <c r="AM68" s="0" t="n">
        <f aca="false">AE68-AL68</f>
        <v>-4.46591523761697E-007</v>
      </c>
    </row>
    <row r="69" customFormat="false" ht="15" hidden="false" customHeight="false" outlineLevel="0" collapsed="false">
      <c r="A69" s="0" t="s">
        <v>270</v>
      </c>
      <c r="B69" s="0" t="s">
        <v>271</v>
      </c>
      <c r="C69" s="0" t="n">
        <v>10</v>
      </c>
      <c r="D69" s="0" t="s">
        <v>242</v>
      </c>
      <c r="E69" s="0" t="n">
        <v>8.75E-005</v>
      </c>
      <c r="F69" s="0" t="n">
        <v>0</v>
      </c>
      <c r="G69" s="0" t="n">
        <v>14.6</v>
      </c>
      <c r="H69" s="0" t="n">
        <v>2.1E-005</v>
      </c>
      <c r="I69" s="0" t="n">
        <v>0</v>
      </c>
      <c r="J69" s="0" t="n">
        <v>0.15</v>
      </c>
      <c r="K69" s="0" t="n">
        <v>0.075</v>
      </c>
      <c r="L69" s="0" t="n">
        <v>0.6</v>
      </c>
      <c r="M69" s="0" t="n">
        <v>0.851</v>
      </c>
      <c r="N69" s="0" t="n">
        <v>1920</v>
      </c>
      <c r="O69" s="0" t="n">
        <v>40.3</v>
      </c>
      <c r="P69" s="0" t="n">
        <v>1.793</v>
      </c>
      <c r="Q69" s="0" t="n">
        <v>66.7</v>
      </c>
      <c r="R69" s="0" t="n">
        <v>1.266</v>
      </c>
      <c r="S69" s="0" t="n">
        <v>1000</v>
      </c>
      <c r="T69" s="0" t="n">
        <v>0.00037796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f aca="false">IF(D69="full",60,IF(D69="gated",CALLER_S*GR,0))*(E69*FX+F69)+EXCH*G69*H69*FX+I69</f>
        <v>0.382242</v>
      </c>
      <c r="AB69" s="0" t="n">
        <f aca="false">EXCH*R69*((N69+S69+O69*(MAX(EXCH*C69,1)-1)/2)*P69*((1-M69)*J69+M69*K69)+Q69*L69)/1000000*FX</f>
        <v>0.387120015066212</v>
      </c>
      <c r="AC69" s="0" t="n">
        <f aca="false">(AGENT_S+V69*EXCH)*(T69*FX+U69)+EXCH*W69*X69*FX+Y69</f>
        <v>0.8617488</v>
      </c>
      <c r="AD69" s="0" t="n">
        <f aca="false">IF(Z69=1,((214*C69+S69+1000)*0.44+400*1.76)/1000000*FX/C69,0)</f>
        <v>0</v>
      </c>
      <c r="AE69" s="0" t="n">
        <f aca="false">AA69+AB69+AC69+AD69</f>
        <v>1.63111081506621</v>
      </c>
      <c r="AF69" s="0" t="n">
        <f aca="false">TEL*(C69+0.25)/C69</f>
        <v>0.44075</v>
      </c>
      <c r="AG69" s="0" t="n">
        <f aca="false">AE69+AF69+INFRA</f>
        <v>2.10186081506621</v>
      </c>
      <c r="AH69" s="0" t="n">
        <f aca="false">AG69/0.6</f>
        <v>3.50310135844369</v>
      </c>
      <c r="AI69" s="0" t="n">
        <f aca="false">AG69/0.5</f>
        <v>4.20372163013242</v>
      </c>
      <c r="AJ69" s="0" t="n">
        <f aca="false">AG69/0.4</f>
        <v>5.25465203766553</v>
      </c>
      <c r="AK69" s="0" t="n">
        <f aca="false">1-AG69/IF(GST_INCL=1,PRICE/(1+GST_RATE),PRICE)</f>
        <v>-0.0509304075331061</v>
      </c>
      <c r="AL69" s="0" t="n">
        <v>1.631111</v>
      </c>
      <c r="AM69" s="0" t="n">
        <f aca="false">AE69-AL69</f>
        <v>-1.8493378761697E-007</v>
      </c>
    </row>
    <row r="70" customFormat="false" ht="15" hidden="false" customHeight="false" outlineLevel="0" collapsed="false">
      <c r="A70" s="0" t="s">
        <v>272</v>
      </c>
      <c r="B70" s="0" t="s">
        <v>273</v>
      </c>
      <c r="C70" s="0" t="n">
        <v>1</v>
      </c>
      <c r="D70" s="0" t="s">
        <v>242</v>
      </c>
      <c r="E70" s="0" t="n">
        <v>8.75E-005</v>
      </c>
      <c r="F70" s="0" t="n">
        <v>0</v>
      </c>
      <c r="G70" s="0" t="n">
        <v>14.6</v>
      </c>
      <c r="H70" s="0" t="n">
        <v>2.1E-005</v>
      </c>
      <c r="I70" s="0" t="n">
        <v>0</v>
      </c>
      <c r="J70" s="0" t="n">
        <v>0.15</v>
      </c>
      <c r="K70" s="0" t="n">
        <v>0.075</v>
      </c>
      <c r="L70" s="0" t="n">
        <v>0.6</v>
      </c>
      <c r="M70" s="0" t="n">
        <v>0.851</v>
      </c>
      <c r="N70" s="0" t="n">
        <v>1920</v>
      </c>
      <c r="O70" s="0" t="n">
        <v>40.3</v>
      </c>
      <c r="P70" s="0" t="n">
        <v>1.793</v>
      </c>
      <c r="Q70" s="0" t="n">
        <v>66.7</v>
      </c>
      <c r="R70" s="0" t="n">
        <v>1.266</v>
      </c>
      <c r="S70" s="0" t="n">
        <v>4000</v>
      </c>
      <c r="T70" s="0" t="n">
        <v>0.0001449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f aca="false">IF(D70="full",60,IF(D70="gated",CALLER_S*GR,0))*(E70*FX+F70)+EXCH*G70*H70*FX+I70</f>
        <v>0.382242</v>
      </c>
      <c r="AB70" s="0" t="n">
        <f aca="false">EXCH*R70*((N70+S70+O70*(MAX(EXCH*C70,1)-1)/2)*P70*((1-M70)*J70+M70*K70)+Q70*L70)/1000000*FX</f>
        <v>0.581615711771038</v>
      </c>
      <c r="AC70" s="0" t="n">
        <f aca="false">(AGENT_S+V70*EXCH)*(T70*FX+U70)+EXCH*W70*X70*FX+Y70</f>
        <v>0.330372</v>
      </c>
      <c r="AD70" s="0" t="n">
        <f aca="false">IF(Z70=1,((214*C70+S70+1000)*0.44+400*1.76)/1000000*FX/C70,0)</f>
        <v>0.2848252</v>
      </c>
      <c r="AE70" s="0" t="n">
        <f aca="false">AA70+AB70+AC70+AD70</f>
        <v>1.57905491177104</v>
      </c>
      <c r="AF70" s="0" t="n">
        <f aca="false">TEL*(C70+0.25)/C70</f>
        <v>0.5375</v>
      </c>
      <c r="AG70" s="0" t="n">
        <f aca="false">AE70+AF70+INFRA</f>
        <v>2.14655491177104</v>
      </c>
      <c r="AH70" s="0" t="n">
        <f aca="false">AG70/0.6</f>
        <v>3.5775915196184</v>
      </c>
      <c r="AI70" s="0" t="n">
        <f aca="false">AG70/0.5</f>
        <v>4.29310982354208</v>
      </c>
      <c r="AJ70" s="0" t="n">
        <f aca="false">AG70/0.4</f>
        <v>5.36638727942759</v>
      </c>
      <c r="AK70" s="0" t="n">
        <f aca="false">1-AG70/IF(GST_INCL=1,PRICE/(1+GST_RATE),PRICE)</f>
        <v>-0.0732774558855187</v>
      </c>
      <c r="AL70" s="0" t="n">
        <v>1.579055</v>
      </c>
      <c r="AM70" s="0" t="n">
        <f aca="false">AE70-AL70</f>
        <v>-8.82289623582722E-008</v>
      </c>
    </row>
    <row r="71" customFormat="false" ht="15" hidden="false" customHeight="false" outlineLevel="0" collapsed="false">
      <c r="A71" s="0" t="s">
        <v>272</v>
      </c>
      <c r="B71" s="0" t="s">
        <v>273</v>
      </c>
      <c r="C71" s="0" t="n">
        <v>3</v>
      </c>
      <c r="D71" s="0" t="s">
        <v>242</v>
      </c>
      <c r="E71" s="0" t="n">
        <v>8.75E-005</v>
      </c>
      <c r="F71" s="0" t="n">
        <v>0</v>
      </c>
      <c r="G71" s="0" t="n">
        <v>14.6</v>
      </c>
      <c r="H71" s="0" t="n">
        <v>2.1E-005</v>
      </c>
      <c r="I71" s="0" t="n">
        <v>0</v>
      </c>
      <c r="J71" s="0" t="n">
        <v>0.15</v>
      </c>
      <c r="K71" s="0" t="n">
        <v>0.075</v>
      </c>
      <c r="L71" s="0" t="n">
        <v>0.6</v>
      </c>
      <c r="M71" s="0" t="n">
        <v>0.851</v>
      </c>
      <c r="N71" s="0" t="n">
        <v>1920</v>
      </c>
      <c r="O71" s="0" t="n">
        <v>40.3</v>
      </c>
      <c r="P71" s="0" t="n">
        <v>1.793</v>
      </c>
      <c r="Q71" s="0" t="n">
        <v>66.7</v>
      </c>
      <c r="R71" s="0" t="n">
        <v>1.266</v>
      </c>
      <c r="S71" s="0" t="n">
        <v>4000</v>
      </c>
      <c r="T71" s="0" t="n">
        <v>0.0001449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f aca="false">IF(D71="full",60,IF(D71="gated",CALLER_S*GR,0))*(E71*FX+F71)+EXCH*G71*H71*FX+I71</f>
        <v>0.382242</v>
      </c>
      <c r="AB71" s="0" t="n">
        <f aca="false">EXCH*R71*((N71+S71+O71*(MAX(EXCH*C71,1)-1)/2)*P71*((1-M71)*J71+M71*K71)+Q71*L71)/1000000*FX</f>
        <v>0.600338216434132</v>
      </c>
      <c r="AC71" s="0" t="n">
        <f aca="false">(AGENT_S+V71*EXCH)*(T71*FX+U71)+EXCH*W71*X71*FX+Y71</f>
        <v>0.330372</v>
      </c>
      <c r="AD71" s="0" t="n">
        <f aca="false">IF(Z71=1,((214*C71+S71+1000)*0.44+400*1.76)/1000000*FX/C71,0)</f>
        <v>0.1009052</v>
      </c>
      <c r="AE71" s="0" t="n">
        <f aca="false">AA71+AB71+AC71+AD71</f>
        <v>1.41385741643413</v>
      </c>
      <c r="AF71" s="0" t="n">
        <f aca="false">TEL*(C71+0.25)/C71</f>
        <v>0.465833333333333</v>
      </c>
      <c r="AG71" s="0" t="n">
        <f aca="false">AE71+AF71+INFRA</f>
        <v>1.90969074976747</v>
      </c>
      <c r="AH71" s="0" t="n">
        <f aca="false">AG71/0.6</f>
        <v>3.18281791627911</v>
      </c>
      <c r="AI71" s="0" t="n">
        <f aca="false">AG71/0.5</f>
        <v>3.81938149953493</v>
      </c>
      <c r="AJ71" s="0" t="n">
        <f aca="false">AG71/0.4</f>
        <v>4.77422687441866</v>
      </c>
      <c r="AK71" s="0" t="n">
        <f aca="false">1-AG71/IF(GST_INCL=1,PRICE/(1+GST_RATE),PRICE)</f>
        <v>0.0451546251162673</v>
      </c>
      <c r="AL71" s="0" t="n">
        <v>1.413857</v>
      </c>
      <c r="AM71" s="0" t="n">
        <f aca="false">AE71-AL71</f>
        <v>4.16434132066712E-007</v>
      </c>
    </row>
    <row r="72" customFormat="false" ht="15" hidden="false" customHeight="false" outlineLevel="0" collapsed="false">
      <c r="A72" s="0" t="s">
        <v>272</v>
      </c>
      <c r="B72" s="0" t="s">
        <v>273</v>
      </c>
      <c r="C72" s="0" t="n">
        <v>5</v>
      </c>
      <c r="D72" s="0" t="s">
        <v>242</v>
      </c>
      <c r="E72" s="0" t="n">
        <v>8.75E-005</v>
      </c>
      <c r="F72" s="0" t="n">
        <v>0</v>
      </c>
      <c r="G72" s="0" t="n">
        <v>14.6</v>
      </c>
      <c r="H72" s="0" t="n">
        <v>2.1E-005</v>
      </c>
      <c r="I72" s="0" t="n">
        <v>0</v>
      </c>
      <c r="J72" s="0" t="n">
        <v>0.15</v>
      </c>
      <c r="K72" s="0" t="n">
        <v>0.075</v>
      </c>
      <c r="L72" s="0" t="n">
        <v>0.6</v>
      </c>
      <c r="M72" s="0" t="n">
        <v>0.851</v>
      </c>
      <c r="N72" s="0" t="n">
        <v>1920</v>
      </c>
      <c r="O72" s="0" t="n">
        <v>40.3</v>
      </c>
      <c r="P72" s="0" t="n">
        <v>1.793</v>
      </c>
      <c r="Q72" s="0" t="n">
        <v>66.7</v>
      </c>
      <c r="R72" s="0" t="n">
        <v>1.266</v>
      </c>
      <c r="S72" s="0" t="n">
        <v>4000</v>
      </c>
      <c r="T72" s="0" t="n">
        <v>0.0001449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f aca="false">IF(D72="full",60,IF(D72="gated",CALLER_S*GR,0))*(E72*FX+F72)+EXCH*G72*H72*FX+I72</f>
        <v>0.382242</v>
      </c>
      <c r="AB72" s="0" t="n">
        <f aca="false">EXCH*R72*((N72+S72+O72*(MAX(EXCH*C72,1)-1)/2)*P72*((1-M72)*J72+M72*K72)+Q72*L72)/1000000*FX</f>
        <v>0.619060721097227</v>
      </c>
      <c r="AC72" s="0" t="n">
        <f aca="false">(AGENT_S+V72*EXCH)*(T72*FX+U72)+EXCH*W72*X72*FX+Y72</f>
        <v>0.330372</v>
      </c>
      <c r="AD72" s="0" t="n">
        <f aca="false">IF(Z72=1,((214*C72+S72+1000)*0.44+400*1.76)/1000000*FX/C72,0)</f>
        <v>0.0641212</v>
      </c>
      <c r="AE72" s="0" t="n">
        <f aca="false">AA72+AB72+AC72+AD72</f>
        <v>1.39579592109723</v>
      </c>
      <c r="AF72" s="0" t="n">
        <f aca="false">TEL*(C72+0.25)/C72</f>
        <v>0.4515</v>
      </c>
      <c r="AG72" s="0" t="n">
        <f aca="false">AE72+AF72+INFRA</f>
        <v>1.87729592109723</v>
      </c>
      <c r="AH72" s="0" t="n">
        <f aca="false">AG72/0.6</f>
        <v>3.12882653516204</v>
      </c>
      <c r="AI72" s="0" t="n">
        <f aca="false">AG72/0.5</f>
        <v>3.75459184219445</v>
      </c>
      <c r="AJ72" s="0" t="n">
        <f aca="false">AG72/0.4</f>
        <v>4.69323980274307</v>
      </c>
      <c r="AK72" s="0" t="n">
        <f aca="false">1-AG72/IF(GST_INCL=1,PRICE/(1+GST_RATE),PRICE)</f>
        <v>0.0613520394513868</v>
      </c>
      <c r="AL72" s="0" t="n">
        <v>1.395796</v>
      </c>
      <c r="AM72" s="0" t="n">
        <f aca="false">AE72-AL72</f>
        <v>-7.89027736480819E-008</v>
      </c>
    </row>
    <row r="73" customFormat="false" ht="15" hidden="false" customHeight="false" outlineLevel="0" collapsed="false">
      <c r="A73" s="0" t="s">
        <v>272</v>
      </c>
      <c r="B73" s="0" t="s">
        <v>273</v>
      </c>
      <c r="C73" s="0" t="n">
        <v>10</v>
      </c>
      <c r="D73" s="0" t="s">
        <v>242</v>
      </c>
      <c r="E73" s="0" t="n">
        <v>8.75E-005</v>
      </c>
      <c r="F73" s="0" t="n">
        <v>0</v>
      </c>
      <c r="G73" s="0" t="n">
        <v>14.6</v>
      </c>
      <c r="H73" s="0" t="n">
        <v>2.1E-005</v>
      </c>
      <c r="I73" s="0" t="n">
        <v>0</v>
      </c>
      <c r="J73" s="0" t="n">
        <v>0.15</v>
      </c>
      <c r="K73" s="0" t="n">
        <v>0.075</v>
      </c>
      <c r="L73" s="0" t="n">
        <v>0.6</v>
      </c>
      <c r="M73" s="0" t="n">
        <v>0.851</v>
      </c>
      <c r="N73" s="0" t="n">
        <v>1920</v>
      </c>
      <c r="O73" s="0" t="n">
        <v>40.3</v>
      </c>
      <c r="P73" s="0" t="n">
        <v>1.793</v>
      </c>
      <c r="Q73" s="0" t="n">
        <v>66.7</v>
      </c>
      <c r="R73" s="0" t="n">
        <v>1.266</v>
      </c>
      <c r="S73" s="0" t="n">
        <v>4000</v>
      </c>
      <c r="T73" s="0" t="n">
        <v>0.0001449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f aca="false">IF(D73="full",60,IF(D73="gated",CALLER_S*GR,0))*(E73*FX+F73)+EXCH*G73*H73*FX+I73</f>
        <v>0.382242</v>
      </c>
      <c r="AB73" s="0" t="n">
        <f aca="false">EXCH*R73*((N73+S73+O73*(MAX(EXCH*C73,1)-1)/2)*P73*((1-M73)*J73+M73*K73)+Q73*L73)/1000000*FX</f>
        <v>0.665866982754963</v>
      </c>
      <c r="AC73" s="0" t="n">
        <f aca="false">(AGENT_S+V73*EXCH)*(T73*FX+U73)+EXCH*W73*X73*FX+Y73</f>
        <v>0.330372</v>
      </c>
      <c r="AD73" s="0" t="n">
        <f aca="false">IF(Z73=1,((214*C73+S73+1000)*0.44+400*1.76)/1000000*FX/C73,0)</f>
        <v>0.0365332</v>
      </c>
      <c r="AE73" s="0" t="n">
        <f aca="false">AA73+AB73+AC73+AD73</f>
        <v>1.41501418275496</v>
      </c>
      <c r="AF73" s="0" t="n">
        <f aca="false">TEL*(C73+0.25)/C73</f>
        <v>0.44075</v>
      </c>
      <c r="AG73" s="0" t="n">
        <f aca="false">AE73+AF73+INFRA</f>
        <v>1.88576418275496</v>
      </c>
      <c r="AH73" s="0" t="n">
        <f aca="false">AG73/0.6</f>
        <v>3.1429403045916</v>
      </c>
      <c r="AI73" s="0" t="n">
        <f aca="false">AG73/0.5</f>
        <v>3.77152836550993</v>
      </c>
      <c r="AJ73" s="0" t="n">
        <f aca="false">AG73/0.4</f>
        <v>4.71441045688741</v>
      </c>
      <c r="AK73" s="0" t="n">
        <f aca="false">1-AG73/IF(GST_INCL=1,PRICE/(1+GST_RATE),PRICE)</f>
        <v>0.0571179086225188</v>
      </c>
      <c r="AL73" s="0" t="n">
        <v>1.415014</v>
      </c>
      <c r="AM73" s="0" t="n">
        <f aca="false">AE73-AL73</f>
        <v>1.82754962496645E-007</v>
      </c>
    </row>
    <row r="74" customFormat="false" ht="15" hidden="false" customHeight="false" outlineLevel="0" collapsed="false">
      <c r="A74" s="0" t="s">
        <v>274</v>
      </c>
      <c r="B74" s="0" t="s">
        <v>275</v>
      </c>
      <c r="C74" s="0" t="n">
        <v>1</v>
      </c>
      <c r="D74" s="0" t="s">
        <v>242</v>
      </c>
      <c r="E74" s="0" t="n">
        <v>0.000277777777777778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0.44</v>
      </c>
      <c r="K74" s="0" t="n">
        <v>0.11</v>
      </c>
      <c r="L74" s="0" t="n">
        <v>1.76</v>
      </c>
      <c r="M74" s="0" t="n">
        <v>0.94</v>
      </c>
      <c r="N74" s="0" t="n">
        <v>1727</v>
      </c>
      <c r="O74" s="0" t="n">
        <v>51.3</v>
      </c>
      <c r="P74" s="0" t="n">
        <v>1.842</v>
      </c>
      <c r="Q74" s="0" t="n">
        <v>28.6</v>
      </c>
      <c r="R74" s="0" t="n">
        <v>1</v>
      </c>
      <c r="S74" s="0" t="n">
        <v>10000</v>
      </c>
      <c r="T74" s="0" t="n">
        <v>0.00024072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f aca="false">IF(D74="full",60,IF(D74="gated",CALLER_S*GR,0))*(E74*FX+F74)+EXCH*G74*H74*FX+I74</f>
        <v>0.751133333333333</v>
      </c>
      <c r="AB74" s="0" t="n">
        <f aca="false">EXCH*R74*((N74+S74+O74*(MAX(EXCH*C74,1)-1)/2)*P74*((1-M74)*J74+M74*K74)+Q74*L74)/1000000*FX</f>
        <v>1.367379645896</v>
      </c>
      <c r="AC74" s="0" t="n">
        <f aca="false">(AGENT_S+V74*EXCH)*(T74*FX+U74)+EXCH*W74*X74*FX+Y74</f>
        <v>0.5488416</v>
      </c>
      <c r="AD74" s="0" t="n">
        <f aca="false">IF(Z74=1,((214*C74+S74+1000)*0.44+400*1.76)/1000000*FX/C74,0)</f>
        <v>0.5356252</v>
      </c>
      <c r="AE74" s="0" t="n">
        <f aca="false">AA74+AB74+AC74+AD74</f>
        <v>3.20297977922933</v>
      </c>
      <c r="AF74" s="0" t="n">
        <f aca="false">TEL*(C74+0.25)/C74</f>
        <v>0.5375</v>
      </c>
      <c r="AG74" s="0" t="n">
        <f aca="false">AE74+AF74+INFRA</f>
        <v>3.77047977922933</v>
      </c>
      <c r="AH74" s="0" t="n">
        <f aca="false">AG74/0.6</f>
        <v>6.28413296538222</v>
      </c>
      <c r="AI74" s="0" t="n">
        <f aca="false">AG74/0.5</f>
        <v>7.54095955845867</v>
      </c>
      <c r="AJ74" s="0" t="n">
        <f aca="false">AG74/0.4</f>
        <v>9.42619944807333</v>
      </c>
      <c r="AK74" s="0" t="n">
        <f aca="false">1-AG74/IF(GST_INCL=1,PRICE/(1+GST_RATE),PRICE)</f>
        <v>-0.885239889614667</v>
      </c>
      <c r="AL74" s="0" t="n">
        <v>3.20298</v>
      </c>
      <c r="AM74" s="0" t="n">
        <f aca="false">AE74-AL74</f>
        <v>-2.20770666636838E-007</v>
      </c>
    </row>
    <row r="75" customFormat="false" ht="15" hidden="false" customHeight="false" outlineLevel="0" collapsed="false">
      <c r="A75" s="0" t="s">
        <v>274</v>
      </c>
      <c r="B75" s="0" t="s">
        <v>275</v>
      </c>
      <c r="C75" s="0" t="n">
        <v>3</v>
      </c>
      <c r="D75" s="0" t="s">
        <v>242</v>
      </c>
      <c r="E75" s="0" t="n">
        <v>0.000277777777777778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0.44</v>
      </c>
      <c r="K75" s="0" t="n">
        <v>0.11</v>
      </c>
      <c r="L75" s="0" t="n">
        <v>1.76</v>
      </c>
      <c r="M75" s="0" t="n">
        <v>0.94</v>
      </c>
      <c r="N75" s="0" t="n">
        <v>1727</v>
      </c>
      <c r="O75" s="0" t="n">
        <v>51.3</v>
      </c>
      <c r="P75" s="0" t="n">
        <v>1.842</v>
      </c>
      <c r="Q75" s="0" t="n">
        <v>28.6</v>
      </c>
      <c r="R75" s="0" t="n">
        <v>1</v>
      </c>
      <c r="S75" s="0" t="n">
        <v>10000</v>
      </c>
      <c r="T75" s="0" t="n">
        <v>0.00024072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f aca="false">IF(D75="full",60,IF(D75="gated",CALLER_S*GR,0))*(E75*FX+F75)+EXCH*G75*H75*FX+I75</f>
        <v>0.751133333333333</v>
      </c>
      <c r="AB75" s="0" t="n">
        <f aca="false">EXCH*R75*((N75+S75+O75*(MAX(EXCH*C75,1)-1)/2)*P75*((1-M75)*J75+M75*K75)+Q75*L75)/1000000*FX</f>
        <v>1.396509968711</v>
      </c>
      <c r="AC75" s="0" t="n">
        <f aca="false">(AGENT_S+V75*EXCH)*(T75*FX+U75)+EXCH*W75*X75*FX+Y75</f>
        <v>0.5488416</v>
      </c>
      <c r="AD75" s="0" t="n">
        <f aca="false">IF(Z75=1,((214*C75+S75+1000)*0.44+400*1.76)/1000000*FX/C75,0)</f>
        <v>0.1845052</v>
      </c>
      <c r="AE75" s="0" t="n">
        <f aca="false">AA75+AB75+AC75+AD75</f>
        <v>2.88099010204433</v>
      </c>
      <c r="AF75" s="0" t="n">
        <f aca="false">TEL*(C75+0.25)/C75</f>
        <v>0.465833333333333</v>
      </c>
      <c r="AG75" s="0" t="n">
        <f aca="false">AE75+AF75+INFRA</f>
        <v>3.37682343537767</v>
      </c>
      <c r="AH75" s="0" t="n">
        <f aca="false">AG75/0.6</f>
        <v>5.62803905896278</v>
      </c>
      <c r="AI75" s="0" t="n">
        <f aca="false">AG75/0.5</f>
        <v>6.75364687075533</v>
      </c>
      <c r="AJ75" s="0" t="n">
        <f aca="false">AG75/0.4</f>
        <v>8.44205858844417</v>
      </c>
      <c r="AK75" s="0" t="n">
        <f aca="false">1-AG75/IF(GST_INCL=1,PRICE/(1+GST_RATE),PRICE)</f>
        <v>-0.688411717688833</v>
      </c>
      <c r="AL75" s="0" t="n">
        <v>2.88099</v>
      </c>
      <c r="AM75" s="0" t="n">
        <f aca="false">AE75-AL75</f>
        <v>1.02044332983553E-007</v>
      </c>
    </row>
    <row r="76" customFormat="false" ht="15" hidden="false" customHeight="false" outlineLevel="0" collapsed="false">
      <c r="A76" s="0" t="s">
        <v>274</v>
      </c>
      <c r="B76" s="0" t="s">
        <v>275</v>
      </c>
      <c r="C76" s="0" t="n">
        <v>5</v>
      </c>
      <c r="D76" s="0" t="s">
        <v>242</v>
      </c>
      <c r="E76" s="0" t="n">
        <v>0.000277777777777778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0.44</v>
      </c>
      <c r="K76" s="0" t="n">
        <v>0.11</v>
      </c>
      <c r="L76" s="0" t="n">
        <v>1.76</v>
      </c>
      <c r="M76" s="0" t="n">
        <v>0.94</v>
      </c>
      <c r="N76" s="0" t="n">
        <v>1727</v>
      </c>
      <c r="O76" s="0" t="n">
        <v>51.3</v>
      </c>
      <c r="P76" s="0" t="n">
        <v>1.842</v>
      </c>
      <c r="Q76" s="0" t="n">
        <v>28.6</v>
      </c>
      <c r="R76" s="0" t="n">
        <v>1</v>
      </c>
      <c r="S76" s="0" t="n">
        <v>10000</v>
      </c>
      <c r="T76" s="0" t="n">
        <v>0.00024072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f aca="false">IF(D76="full",60,IF(D76="gated",CALLER_S*GR,0))*(E76*FX+F76)+EXCH*G76*H76*FX+I76</f>
        <v>0.751133333333333</v>
      </c>
      <c r="AB76" s="0" t="n">
        <f aca="false">EXCH*R76*((N76+S76+O76*(MAX(EXCH*C76,1)-1)/2)*P76*((1-M76)*J76+M76*K76)+Q76*L76)/1000000*FX</f>
        <v>1.425640291526</v>
      </c>
      <c r="AC76" s="0" t="n">
        <f aca="false">(AGENT_S+V76*EXCH)*(T76*FX+U76)+EXCH*W76*X76*FX+Y76</f>
        <v>0.5488416</v>
      </c>
      <c r="AD76" s="0" t="n">
        <f aca="false">IF(Z76=1,((214*C76+S76+1000)*0.44+400*1.76)/1000000*FX/C76,0)</f>
        <v>0.1142812</v>
      </c>
      <c r="AE76" s="0" t="n">
        <f aca="false">AA76+AB76+AC76+AD76</f>
        <v>2.83989642485933</v>
      </c>
      <c r="AF76" s="0" t="n">
        <f aca="false">TEL*(C76+0.25)/C76</f>
        <v>0.4515</v>
      </c>
      <c r="AG76" s="0" t="n">
        <f aca="false">AE76+AF76+INFRA</f>
        <v>3.32139642485933</v>
      </c>
      <c r="AH76" s="0" t="n">
        <f aca="false">AG76/0.6</f>
        <v>5.53566070809889</v>
      </c>
      <c r="AI76" s="0" t="n">
        <f aca="false">AG76/0.5</f>
        <v>6.64279284971867</v>
      </c>
      <c r="AJ76" s="0" t="n">
        <f aca="false">AG76/0.4</f>
        <v>8.30349106214833</v>
      </c>
      <c r="AK76" s="0" t="n">
        <f aca="false">1-AG76/IF(GST_INCL=1,PRICE/(1+GST_RATE),PRICE)</f>
        <v>-0.660698212429667</v>
      </c>
      <c r="AL76" s="0" t="n">
        <v>2.839896</v>
      </c>
      <c r="AM76" s="0" t="n">
        <f aca="false">AE76-AL76</f>
        <v>4.24859334380301E-007</v>
      </c>
    </row>
    <row r="77" customFormat="false" ht="15" hidden="false" customHeight="false" outlineLevel="0" collapsed="false">
      <c r="A77" s="0" t="s">
        <v>274</v>
      </c>
      <c r="B77" s="0" t="s">
        <v>275</v>
      </c>
      <c r="C77" s="0" t="n">
        <v>10</v>
      </c>
      <c r="D77" s="0" t="s">
        <v>242</v>
      </c>
      <c r="E77" s="0" t="n">
        <v>0.000277777777777778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0.44</v>
      </c>
      <c r="K77" s="0" t="n">
        <v>0.11</v>
      </c>
      <c r="L77" s="0" t="n">
        <v>1.76</v>
      </c>
      <c r="M77" s="0" t="n">
        <v>0.94</v>
      </c>
      <c r="N77" s="0" t="n">
        <v>1727</v>
      </c>
      <c r="O77" s="0" t="n">
        <v>51.3</v>
      </c>
      <c r="P77" s="0" t="n">
        <v>1.842</v>
      </c>
      <c r="Q77" s="0" t="n">
        <v>28.6</v>
      </c>
      <c r="R77" s="0" t="n">
        <v>1</v>
      </c>
      <c r="S77" s="0" t="n">
        <v>10000</v>
      </c>
      <c r="T77" s="0" t="n">
        <v>0.00024072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f aca="false">IF(D77="full",60,IF(D77="gated",CALLER_S*GR,0))*(E77*FX+F77)+EXCH*G77*H77*FX+I77</f>
        <v>0.751133333333333</v>
      </c>
      <c r="AB77" s="0" t="n">
        <f aca="false">EXCH*R77*((N77+S77+O77*(MAX(EXCH*C77,1)-1)/2)*P77*((1-M77)*J77+M77*K77)+Q77*L77)/1000000*FX</f>
        <v>1.4984660985635</v>
      </c>
      <c r="AC77" s="0" t="n">
        <f aca="false">(AGENT_S+V77*EXCH)*(T77*FX+U77)+EXCH*W77*X77*FX+Y77</f>
        <v>0.5488416</v>
      </c>
      <c r="AD77" s="0" t="n">
        <f aca="false">IF(Z77=1,((214*C77+S77+1000)*0.44+400*1.76)/1000000*FX/C77,0)</f>
        <v>0.0616132</v>
      </c>
      <c r="AE77" s="0" t="n">
        <f aca="false">AA77+AB77+AC77+AD77</f>
        <v>2.86005423189683</v>
      </c>
      <c r="AF77" s="0" t="n">
        <f aca="false">TEL*(C77+0.25)/C77</f>
        <v>0.44075</v>
      </c>
      <c r="AG77" s="0" t="n">
        <f aca="false">AE77+AF77+INFRA</f>
        <v>3.33080423189683</v>
      </c>
      <c r="AH77" s="0" t="n">
        <f aca="false">AG77/0.6</f>
        <v>5.55134038649472</v>
      </c>
      <c r="AI77" s="0" t="n">
        <f aca="false">AG77/0.5</f>
        <v>6.66160846379367</v>
      </c>
      <c r="AJ77" s="0" t="n">
        <f aca="false">AG77/0.4</f>
        <v>8.32701057974208</v>
      </c>
      <c r="AK77" s="0" t="n">
        <f aca="false">1-AG77/IF(GST_INCL=1,PRICE/(1+GST_RATE),PRICE)</f>
        <v>-0.665402115948417</v>
      </c>
      <c r="AL77" s="0" t="n">
        <v>2.860054</v>
      </c>
      <c r="AM77" s="0" t="n">
        <f aca="false">AE77-AL77</f>
        <v>2.31896834179679E-007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70"/>
  </cols>
  <sheetData>
    <row r="1" customFormat="false" ht="15" hidden="false" customHeight="false" outlineLevel="0" collapsed="false">
      <c r="A1" s="1" t="s">
        <v>276</v>
      </c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</row>
    <row r="2" customFormat="false" ht="15" hidden="false" customHeight="false" outlineLevel="0" collapsed="false">
      <c r="A2" s="0" t="s">
        <v>290</v>
      </c>
      <c r="B2" s="0" t="s">
        <v>269</v>
      </c>
      <c r="C2" s="2" t="n">
        <v>2.99</v>
      </c>
      <c r="D2" s="3" t="n">
        <f aca="false">ROUND(C2*(1+GST_RATE),2)</f>
        <v>3.53</v>
      </c>
      <c r="E2" s="3" t="n">
        <f aca="false">Calc!AE63</f>
        <v>1.03420524874538</v>
      </c>
      <c r="F2" s="3" t="n">
        <f aca="false">Calc!AG63</f>
        <v>1.53003858207872</v>
      </c>
      <c r="G2" s="3" t="n">
        <f aca="false">1-F2/C2</f>
        <v>0.488281410676015</v>
      </c>
      <c r="H2" s="0" t="n">
        <v>1.219</v>
      </c>
      <c r="I2" s="0" t="n">
        <v>1.715</v>
      </c>
      <c r="J2" s="0" t="n">
        <v>0.426</v>
      </c>
      <c r="K2" s="0" t="n">
        <v>0.697</v>
      </c>
      <c r="L2" s="0" t="n">
        <v>2.858</v>
      </c>
      <c r="M2" s="0" t="n">
        <v>3.43</v>
      </c>
      <c r="N2" s="0" t="n">
        <v>0</v>
      </c>
    </row>
    <row r="3" customFormat="false" ht="15" hidden="false" customHeight="false" outlineLevel="0" collapsed="false">
      <c r="A3" s="0" t="s">
        <v>291</v>
      </c>
      <c r="B3" s="0" t="s">
        <v>271</v>
      </c>
      <c r="C3" s="2" t="n">
        <v>3.49</v>
      </c>
      <c r="D3" s="3" t="n">
        <f aca="false">ROUND(C3*(1+GST_RATE),2)</f>
        <v>4.12</v>
      </c>
      <c r="E3" s="3" t="n">
        <f aca="false">Calc!AE67</f>
        <v>1.56558204874538</v>
      </c>
      <c r="F3" s="3" t="n">
        <f aca="false">Calc!AG67</f>
        <v>2.06141538207872</v>
      </c>
      <c r="G3" s="3" t="n">
        <f aca="false">1-F3/C3</f>
        <v>0.409336566739623</v>
      </c>
      <c r="H3" s="0" t="n">
        <v>1.764</v>
      </c>
      <c r="I3" s="0" t="n">
        <v>2.259</v>
      </c>
      <c r="J3" s="0" t="n">
        <v>0.353</v>
      </c>
      <c r="K3" s="0" t="n">
        <v>0.242</v>
      </c>
      <c r="L3" s="0" t="n">
        <v>3.766</v>
      </c>
      <c r="M3" s="0" t="n">
        <v>4.519</v>
      </c>
      <c r="N3" s="0" t="n">
        <v>0</v>
      </c>
    </row>
    <row r="4" customFormat="false" ht="15" hidden="false" customHeight="false" outlineLevel="0" collapsed="false">
      <c r="A4" s="0" t="s">
        <v>292</v>
      </c>
      <c r="B4" s="0" t="s">
        <v>273</v>
      </c>
      <c r="C4" s="2" t="n">
        <v>3.99</v>
      </c>
      <c r="D4" s="3" t="n">
        <f aca="false">ROUND(C4*(1+GST_RATE),2)</f>
        <v>4.71</v>
      </c>
      <c r="E4" s="3" t="n">
        <f aca="false">Calc!AE71</f>
        <v>1.41385741643413</v>
      </c>
      <c r="F4" s="3" t="n">
        <f aca="false">Calc!AG71</f>
        <v>1.90969074976747</v>
      </c>
      <c r="G4" s="3" t="n">
        <f aca="false">1-F4/C4</f>
        <v>0.521380764469307</v>
      </c>
      <c r="H4" s="0" t="n">
        <v>1.646</v>
      </c>
      <c r="I4" s="0" t="n">
        <v>2.142</v>
      </c>
      <c r="J4" s="0" t="n">
        <v>0.463</v>
      </c>
      <c r="K4" s="0" t="n">
        <v>0.767</v>
      </c>
      <c r="L4" s="0" t="n">
        <v>3.57</v>
      </c>
      <c r="M4" s="0" t="n">
        <v>4.284</v>
      </c>
      <c r="N4" s="0" t="n">
        <v>0</v>
      </c>
    </row>
    <row r="5" customFormat="false" ht="15" hidden="false" customHeight="false" outlineLevel="0" collapsed="false">
      <c r="A5" s="0" t="s">
        <v>293</v>
      </c>
      <c r="B5" s="0" t="s">
        <v>275</v>
      </c>
      <c r="C5" s="2" t="n">
        <v>6.49</v>
      </c>
      <c r="D5" s="3" t="n">
        <f aca="false">ROUND(C5*(1+GST_RATE),2)</f>
        <v>7.66</v>
      </c>
      <c r="E5" s="3" t="n">
        <f aca="false">Calc!AE75</f>
        <v>2.88099010204433</v>
      </c>
      <c r="F5" s="3" t="n">
        <f aca="false">Calc!AG75</f>
        <v>3.37682343537767</v>
      </c>
      <c r="G5" s="3" t="n">
        <f aca="false">1-F5/C5</f>
        <v>0.479688222592039</v>
      </c>
      <c r="H5" s="0" t="n">
        <v>3.023</v>
      </c>
      <c r="I5" s="0" t="n">
        <v>3.519</v>
      </c>
      <c r="J5" s="0" t="n">
        <v>0.458</v>
      </c>
      <c r="K5" s="0" t="n">
        <v>0.725</v>
      </c>
      <c r="L5" s="0" t="n">
        <v>5.864</v>
      </c>
      <c r="M5" s="0" t="n">
        <v>7.037</v>
      </c>
      <c r="N5" s="0" t="n">
        <v>350000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294</v>
      </c>
    </row>
    <row r="2" customFormat="false" ht="15" hidden="false" customHeight="false" outlineLevel="0" collapsed="false">
      <c r="A2" s="0" t="s">
        <v>295</v>
      </c>
      <c r="B2" s="0" t="s">
        <v>296</v>
      </c>
      <c r="C2" s="0" t="s">
        <v>297</v>
      </c>
      <c r="D2" s="0" t="s">
        <v>298</v>
      </c>
      <c r="E2" s="0" t="s">
        <v>299</v>
      </c>
      <c r="F2" s="0" t="s">
        <v>300</v>
      </c>
      <c r="G2" s="0" t="s">
        <v>301</v>
      </c>
    </row>
    <row r="3" customFormat="false" ht="15" hidden="false" customHeight="false" outlineLevel="0" collapsed="false">
      <c r="A3" s="0" t="s">
        <v>302</v>
      </c>
      <c r="B3" s="0" t="s">
        <v>303</v>
      </c>
      <c r="C3" s="0" t="n">
        <v>2.47</v>
      </c>
      <c r="D3" s="0" t="n">
        <v>4.71</v>
      </c>
      <c r="E3" s="0" t="n">
        <v>6.85</v>
      </c>
      <c r="F3" s="0" t="n">
        <v>10.74</v>
      </c>
      <c r="G3" s="0" t="n">
        <v>4.35</v>
      </c>
    </row>
    <row r="4" customFormat="false" ht="15" hidden="false" customHeight="false" outlineLevel="0" collapsed="false">
      <c r="A4" s="0" t="s">
        <v>302</v>
      </c>
      <c r="B4" s="0" t="s">
        <v>304</v>
      </c>
      <c r="C4" s="0" t="n">
        <v>2.55</v>
      </c>
      <c r="D4" s="0" t="n">
        <v>4.19</v>
      </c>
      <c r="E4" s="0" t="n">
        <v>5.34</v>
      </c>
      <c r="F4" s="0" t="n">
        <v>6.38</v>
      </c>
      <c r="G4" s="0" t="n">
        <v>2.5</v>
      </c>
    </row>
    <row r="5" customFormat="false" ht="15" hidden="false" customHeight="false" outlineLevel="0" collapsed="false">
      <c r="A5" s="0" t="s">
        <v>305</v>
      </c>
      <c r="B5" s="0" t="s">
        <v>303</v>
      </c>
      <c r="C5" s="0" t="n">
        <v>3.31</v>
      </c>
      <c r="D5" s="0" t="n">
        <v>5.72</v>
      </c>
      <c r="E5" s="0" t="n">
        <v>8.05</v>
      </c>
      <c r="F5" s="0" t="n">
        <v>12.7</v>
      </c>
      <c r="G5" s="0" t="n">
        <v>3.84</v>
      </c>
    </row>
    <row r="6" customFormat="false" ht="15" hidden="false" customHeight="false" outlineLevel="0" collapsed="false">
      <c r="A6" s="0" t="s">
        <v>305</v>
      </c>
      <c r="B6" s="0" t="s">
        <v>304</v>
      </c>
      <c r="C6" s="0" t="n">
        <v>3.34</v>
      </c>
      <c r="D6" s="0" t="n">
        <v>5.72</v>
      </c>
      <c r="E6" s="0" t="n">
        <v>7.94</v>
      </c>
      <c r="F6" s="0" t="n">
        <v>9.05</v>
      </c>
      <c r="G6" s="0" t="n">
        <v>2.71</v>
      </c>
    </row>
    <row r="8" customFormat="false" ht="15" hidden="false" customHeight="false" outlineLevel="0" collapsed="false">
      <c r="A8" s="0" t="s">
        <v>306</v>
      </c>
    </row>
    <row r="9" customFormat="false" ht="15" hidden="false" customHeight="false" outlineLevel="0" collapsed="false">
      <c r="A9" s="0" t="s">
        <v>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277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  <c r="K1" s="1" t="s">
        <v>317</v>
      </c>
      <c r="L1" s="1" t="s">
        <v>18</v>
      </c>
    </row>
    <row r="2" customFormat="false" ht="15" hidden="false" customHeight="false" outlineLevel="0" collapsed="false">
      <c r="A2" s="0" t="s">
        <v>237</v>
      </c>
      <c r="B2" s="0" t="n">
        <v>2026</v>
      </c>
      <c r="C2" s="0" t="n">
        <v>1</v>
      </c>
      <c r="D2" s="0" t="n">
        <v>2.058</v>
      </c>
      <c r="E2" s="0" t="n">
        <v>2.188</v>
      </c>
      <c r="F2" s="0" t="n">
        <v>2.331</v>
      </c>
      <c r="G2" s="0" t="n">
        <v>2.192</v>
      </c>
      <c r="H2" s="0" t="n">
        <v>2.76</v>
      </c>
      <c r="I2" s="0" t="n">
        <v>2.188</v>
      </c>
      <c r="J2" s="0" t="n">
        <v>0</v>
      </c>
      <c r="K2" s="0" t="n">
        <v>0</v>
      </c>
    </row>
    <row r="3" customFormat="false" ht="15" hidden="false" customHeight="false" outlineLevel="0" collapsed="false">
      <c r="A3" s="0" t="s">
        <v>237</v>
      </c>
      <c r="B3" s="0" t="n">
        <v>2026</v>
      </c>
      <c r="C3" s="0" t="n">
        <v>3</v>
      </c>
      <c r="D3" s="0" t="n">
        <v>2.083</v>
      </c>
      <c r="E3" s="0" t="n">
        <v>2.219</v>
      </c>
      <c r="F3" s="0" t="n">
        <v>2.369</v>
      </c>
      <c r="G3" s="0" t="n">
        <v>2.223</v>
      </c>
      <c r="H3" s="0" t="n">
        <v>2.719</v>
      </c>
      <c r="I3" s="0" t="n">
        <v>6.657</v>
      </c>
      <c r="J3" s="0" t="n">
        <v>0</v>
      </c>
      <c r="K3" s="0" t="n">
        <v>0</v>
      </c>
    </row>
    <row r="4" customFormat="false" ht="15" hidden="false" customHeight="false" outlineLevel="0" collapsed="false">
      <c r="A4" s="0" t="s">
        <v>237</v>
      </c>
      <c r="B4" s="0" t="n">
        <v>2026</v>
      </c>
      <c r="C4" s="0" t="n">
        <v>5</v>
      </c>
      <c r="D4" s="0" t="n">
        <v>2.107</v>
      </c>
      <c r="E4" s="0" t="n">
        <v>2.251</v>
      </c>
      <c r="F4" s="0" t="n">
        <v>2.407</v>
      </c>
      <c r="G4" s="0" t="n">
        <v>2.255</v>
      </c>
      <c r="H4" s="0" t="n">
        <v>2.737</v>
      </c>
      <c r="I4" s="0" t="n">
        <v>11.253</v>
      </c>
      <c r="J4" s="0" t="n">
        <v>0</v>
      </c>
      <c r="K4" s="0" t="n">
        <v>0</v>
      </c>
    </row>
    <row r="5" customFormat="false" ht="15" hidden="false" customHeight="false" outlineLevel="0" collapsed="false">
      <c r="A5" s="0" t="s">
        <v>237</v>
      </c>
      <c r="B5" s="0" t="n">
        <v>2026</v>
      </c>
      <c r="C5" s="0" t="n">
        <v>10</v>
      </c>
      <c r="D5" s="0" t="n">
        <v>2.164</v>
      </c>
      <c r="E5" s="0" t="n">
        <v>2.328</v>
      </c>
      <c r="F5" s="0" t="n">
        <v>2.507</v>
      </c>
      <c r="G5" s="0" t="n">
        <v>2.333</v>
      </c>
      <c r="H5" s="0" t="n">
        <v>2.803</v>
      </c>
      <c r="I5" s="0" t="n">
        <v>23.285</v>
      </c>
      <c r="J5" s="0" t="n">
        <v>0</v>
      </c>
      <c r="K5" s="0" t="n">
        <v>0</v>
      </c>
    </row>
    <row r="6" customFormat="false" ht="15" hidden="false" customHeight="false" outlineLevel="0" collapsed="false">
      <c r="A6" s="0" t="s">
        <v>237</v>
      </c>
      <c r="B6" s="0" t="n">
        <v>2026</v>
      </c>
      <c r="C6" s="0" t="s">
        <v>318</v>
      </c>
      <c r="E6" s="0" t="n">
        <v>2.264</v>
      </c>
      <c r="G6" s="0" t="n">
        <v>2.264</v>
      </c>
      <c r="H6" s="0" t="n">
        <v>2.76</v>
      </c>
      <c r="I6" s="0" t="n">
        <v>5.569</v>
      </c>
      <c r="L6" s="0" t="s">
        <v>319</v>
      </c>
    </row>
    <row r="7" customFormat="false" ht="15" hidden="false" customHeight="false" outlineLevel="0" collapsed="false">
      <c r="A7" s="0" t="s">
        <v>237</v>
      </c>
      <c r="B7" s="0" t="n">
        <v>2026</v>
      </c>
      <c r="C7" s="0" t="s">
        <v>320</v>
      </c>
      <c r="E7" s="0" t="n">
        <v>2.387</v>
      </c>
      <c r="G7" s="0" t="n">
        <v>2.387</v>
      </c>
      <c r="H7" s="0" t="n">
        <v>2.861</v>
      </c>
      <c r="I7" s="0" t="n">
        <v>18.423</v>
      </c>
      <c r="L7" s="0" t="s">
        <v>319</v>
      </c>
    </row>
    <row r="8" customFormat="false" ht="15" hidden="false" customHeight="false" outlineLevel="0" collapsed="false">
      <c r="A8" s="0" t="s">
        <v>240</v>
      </c>
      <c r="B8" s="0" t="n">
        <v>2026</v>
      </c>
      <c r="C8" s="0" t="n">
        <v>1</v>
      </c>
      <c r="D8" s="0" t="n">
        <v>1.117</v>
      </c>
      <c r="E8" s="0" t="n">
        <v>1.332</v>
      </c>
      <c r="F8" s="0" t="n">
        <v>1.534</v>
      </c>
      <c r="G8" s="0" t="n">
        <v>1.329</v>
      </c>
      <c r="H8" s="0" t="n">
        <v>1.903</v>
      </c>
      <c r="I8" s="0" t="n">
        <v>1.332</v>
      </c>
      <c r="J8" s="0" t="n">
        <v>0</v>
      </c>
      <c r="K8" s="0" t="n">
        <v>0</v>
      </c>
    </row>
    <row r="9" customFormat="false" ht="15" hidden="false" customHeight="false" outlineLevel="0" collapsed="false">
      <c r="A9" s="0" t="s">
        <v>240</v>
      </c>
      <c r="B9" s="0" t="n">
        <v>2026</v>
      </c>
      <c r="C9" s="0" t="n">
        <v>3</v>
      </c>
      <c r="D9" s="0" t="n">
        <v>1.146</v>
      </c>
      <c r="E9" s="0" t="n">
        <v>1.363</v>
      </c>
      <c r="F9" s="0" t="n">
        <v>1.569</v>
      </c>
      <c r="G9" s="0" t="n">
        <v>1.36</v>
      </c>
      <c r="H9" s="0" t="n">
        <v>1.862</v>
      </c>
      <c r="I9" s="0" t="n">
        <v>4.089</v>
      </c>
      <c r="J9" s="0" t="n">
        <v>0</v>
      </c>
      <c r="K9" s="0" t="n">
        <v>0</v>
      </c>
    </row>
    <row r="10" customFormat="false" ht="15" hidden="false" customHeight="false" outlineLevel="0" collapsed="false">
      <c r="A10" s="0" t="s">
        <v>240</v>
      </c>
      <c r="B10" s="0" t="n">
        <v>2026</v>
      </c>
      <c r="C10" s="0" t="n">
        <v>5</v>
      </c>
      <c r="D10" s="0" t="n">
        <v>1.174</v>
      </c>
      <c r="E10" s="0" t="n">
        <v>1.394</v>
      </c>
      <c r="F10" s="0" t="n">
        <v>1.605</v>
      </c>
      <c r="G10" s="0" t="n">
        <v>1.392</v>
      </c>
      <c r="H10" s="0" t="n">
        <v>1.879</v>
      </c>
      <c r="I10" s="0" t="n">
        <v>6.971</v>
      </c>
      <c r="J10" s="0" t="n">
        <v>0</v>
      </c>
      <c r="K10" s="0" t="n">
        <v>0</v>
      </c>
    </row>
    <row r="11" customFormat="false" ht="15" hidden="false" customHeight="false" outlineLevel="0" collapsed="false">
      <c r="A11" s="0" t="s">
        <v>240</v>
      </c>
      <c r="B11" s="0" t="n">
        <v>2026</v>
      </c>
      <c r="C11" s="0" t="n">
        <v>10</v>
      </c>
      <c r="D11" s="0" t="n">
        <v>1.239</v>
      </c>
      <c r="E11" s="0" t="n">
        <v>1.472</v>
      </c>
      <c r="F11" s="0" t="n">
        <v>1.699</v>
      </c>
      <c r="G11" s="0" t="n">
        <v>1.47</v>
      </c>
      <c r="H11" s="0" t="n">
        <v>1.946</v>
      </c>
      <c r="I11" s="0" t="n">
        <v>14.72</v>
      </c>
      <c r="J11" s="0" t="n">
        <v>0</v>
      </c>
      <c r="K11" s="0" t="n">
        <v>0</v>
      </c>
    </row>
    <row r="12" customFormat="false" ht="15" hidden="false" customHeight="false" outlineLevel="0" collapsed="false">
      <c r="A12" s="0" t="s">
        <v>240</v>
      </c>
      <c r="B12" s="0" t="n">
        <v>2026</v>
      </c>
      <c r="C12" s="0" t="s">
        <v>318</v>
      </c>
      <c r="E12" s="0" t="n">
        <v>1.401</v>
      </c>
      <c r="G12" s="0" t="n">
        <v>1.401</v>
      </c>
      <c r="H12" s="0" t="n">
        <v>1.897</v>
      </c>
      <c r="I12" s="0" t="n">
        <v>3.382</v>
      </c>
      <c r="L12" s="0" t="s">
        <v>319</v>
      </c>
    </row>
    <row r="13" customFormat="false" ht="15" hidden="false" customHeight="false" outlineLevel="0" collapsed="false">
      <c r="A13" s="0" t="s">
        <v>240</v>
      </c>
      <c r="B13" s="0" t="n">
        <v>2026</v>
      </c>
      <c r="C13" s="0" t="s">
        <v>320</v>
      </c>
      <c r="E13" s="0" t="n">
        <v>1.524</v>
      </c>
      <c r="G13" s="0" t="n">
        <v>1.524</v>
      </c>
      <c r="H13" s="0" t="n">
        <v>1.999</v>
      </c>
      <c r="I13" s="0" t="n">
        <v>11.438</v>
      </c>
      <c r="L13" s="0" t="s">
        <v>319</v>
      </c>
    </row>
    <row r="14" customFormat="false" ht="15" hidden="false" customHeight="false" outlineLevel="0" collapsed="false">
      <c r="A14" s="0" t="s">
        <v>243</v>
      </c>
      <c r="B14" s="0" t="n">
        <v>2026</v>
      </c>
      <c r="C14" s="0" t="n">
        <v>1</v>
      </c>
      <c r="D14" s="0" t="n">
        <v>2.471</v>
      </c>
      <c r="E14" s="0" t="n">
        <v>2.712</v>
      </c>
      <c r="F14" s="0" t="n">
        <v>2.979</v>
      </c>
      <c r="G14" s="0" t="n">
        <v>2.719</v>
      </c>
      <c r="H14" s="0" t="n">
        <v>3.283</v>
      </c>
      <c r="I14" s="0" t="n">
        <v>2.712</v>
      </c>
      <c r="J14" s="0" t="n">
        <v>0</v>
      </c>
      <c r="K14" s="0" t="n">
        <v>0</v>
      </c>
    </row>
    <row r="15" customFormat="false" ht="15" hidden="false" customHeight="false" outlineLevel="0" collapsed="false">
      <c r="A15" s="0" t="s">
        <v>243</v>
      </c>
      <c r="B15" s="0" t="n">
        <v>2026</v>
      </c>
      <c r="C15" s="0" t="n">
        <v>3</v>
      </c>
      <c r="D15" s="0" t="n">
        <v>2.5</v>
      </c>
      <c r="E15" s="0" t="n">
        <v>2.744</v>
      </c>
      <c r="F15" s="0" t="n">
        <v>3.013</v>
      </c>
      <c r="G15" s="0" t="n">
        <v>2.75</v>
      </c>
      <c r="H15" s="0" t="n">
        <v>3.242</v>
      </c>
      <c r="I15" s="0" t="n">
        <v>8.232</v>
      </c>
      <c r="J15" s="0" t="n">
        <v>0</v>
      </c>
      <c r="K15" s="0" t="n">
        <v>0</v>
      </c>
    </row>
    <row r="16" customFormat="false" ht="15" hidden="false" customHeight="false" outlineLevel="0" collapsed="false">
      <c r="A16" s="0" t="s">
        <v>243</v>
      </c>
      <c r="B16" s="0" t="n">
        <v>2026</v>
      </c>
      <c r="C16" s="0" t="n">
        <v>5</v>
      </c>
      <c r="D16" s="0" t="n">
        <v>2.527</v>
      </c>
      <c r="E16" s="0" t="n">
        <v>2.775</v>
      </c>
      <c r="F16" s="0" t="n">
        <v>3.049</v>
      </c>
      <c r="G16" s="0" t="n">
        <v>2.782</v>
      </c>
      <c r="H16" s="0" t="n">
        <v>3.26</v>
      </c>
      <c r="I16" s="0" t="n">
        <v>13.876</v>
      </c>
      <c r="J16" s="0" t="n">
        <v>0</v>
      </c>
      <c r="K16" s="0" t="n">
        <v>0</v>
      </c>
    </row>
    <row r="17" customFormat="false" ht="15" hidden="false" customHeight="false" outlineLevel="0" collapsed="false">
      <c r="A17" s="0" t="s">
        <v>243</v>
      </c>
      <c r="B17" s="0" t="n">
        <v>2026</v>
      </c>
      <c r="C17" s="0" t="n">
        <v>10</v>
      </c>
      <c r="D17" s="0" t="n">
        <v>2.595</v>
      </c>
      <c r="E17" s="0" t="n">
        <v>2.854</v>
      </c>
      <c r="F17" s="0" t="n">
        <v>3.138</v>
      </c>
      <c r="G17" s="0" t="n">
        <v>2.861</v>
      </c>
      <c r="H17" s="0" t="n">
        <v>3.328</v>
      </c>
      <c r="I17" s="0" t="n">
        <v>28.541</v>
      </c>
      <c r="J17" s="0" t="n">
        <v>0</v>
      </c>
      <c r="K17" s="0" t="n">
        <v>0</v>
      </c>
    </row>
    <row r="18" customFormat="false" ht="15" hidden="false" customHeight="false" outlineLevel="0" collapsed="false">
      <c r="A18" s="0" t="s">
        <v>243</v>
      </c>
      <c r="B18" s="0" t="n">
        <v>2026</v>
      </c>
      <c r="C18" s="0" t="s">
        <v>318</v>
      </c>
      <c r="E18" s="0" t="n">
        <v>2.792</v>
      </c>
      <c r="G18" s="0" t="n">
        <v>2.792</v>
      </c>
      <c r="H18" s="0" t="n">
        <v>3.287</v>
      </c>
      <c r="I18" s="0" t="n">
        <v>6.889</v>
      </c>
      <c r="L18" s="0" t="s">
        <v>319</v>
      </c>
    </row>
    <row r="19" customFormat="false" ht="15" hidden="false" customHeight="false" outlineLevel="0" collapsed="false">
      <c r="A19" s="0" t="s">
        <v>243</v>
      </c>
      <c r="B19" s="0" t="n">
        <v>2026</v>
      </c>
      <c r="C19" s="0" t="s">
        <v>320</v>
      </c>
      <c r="E19" s="0" t="n">
        <v>2.915</v>
      </c>
      <c r="G19" s="0" t="n">
        <v>2.915</v>
      </c>
      <c r="H19" s="0" t="n">
        <v>3.389</v>
      </c>
      <c r="I19" s="0" t="n">
        <v>22.625</v>
      </c>
      <c r="L19" s="0" t="s">
        <v>319</v>
      </c>
    </row>
    <row r="20" customFormat="false" ht="15" hidden="false" customHeight="false" outlineLevel="0" collapsed="false">
      <c r="A20" s="0" t="s">
        <v>245</v>
      </c>
      <c r="B20" s="0" t="n">
        <v>2026</v>
      </c>
      <c r="C20" s="0" t="n">
        <v>1</v>
      </c>
      <c r="D20" s="0" t="n">
        <v>2.451</v>
      </c>
      <c r="E20" s="0" t="n">
        <v>2.693</v>
      </c>
      <c r="F20" s="0" t="n">
        <v>2.959</v>
      </c>
      <c r="G20" s="0" t="n">
        <v>2.698</v>
      </c>
      <c r="H20" s="0" t="n">
        <v>3.264</v>
      </c>
      <c r="I20" s="0" t="n">
        <v>2.693</v>
      </c>
      <c r="J20" s="0" t="n">
        <v>0</v>
      </c>
      <c r="K20" s="0" t="n">
        <v>0</v>
      </c>
    </row>
    <row r="21" customFormat="false" ht="15" hidden="false" customHeight="false" outlineLevel="0" collapsed="false">
      <c r="A21" s="0" t="s">
        <v>245</v>
      </c>
      <c r="B21" s="0" t="n">
        <v>2026</v>
      </c>
      <c r="C21" s="0" t="n">
        <v>3</v>
      </c>
      <c r="D21" s="0" t="n">
        <v>2.483</v>
      </c>
      <c r="E21" s="0" t="n">
        <v>2.728</v>
      </c>
      <c r="F21" s="0" t="n">
        <v>2.999</v>
      </c>
      <c r="G21" s="0" t="n">
        <v>2.734</v>
      </c>
      <c r="H21" s="0" t="n">
        <v>3.227</v>
      </c>
      <c r="I21" s="0" t="n">
        <v>8.185</v>
      </c>
      <c r="J21" s="0" t="n">
        <v>0</v>
      </c>
      <c r="K21" s="0" t="n">
        <v>0</v>
      </c>
    </row>
    <row r="22" customFormat="false" ht="15" hidden="false" customHeight="false" outlineLevel="0" collapsed="false">
      <c r="A22" s="0" t="s">
        <v>245</v>
      </c>
      <c r="B22" s="0" t="n">
        <v>2026</v>
      </c>
      <c r="C22" s="0" t="n">
        <v>5</v>
      </c>
      <c r="D22" s="0" t="n">
        <v>2.513</v>
      </c>
      <c r="E22" s="0" t="n">
        <v>2.764</v>
      </c>
      <c r="F22" s="0" t="n">
        <v>3.038</v>
      </c>
      <c r="G22" s="0" t="n">
        <v>2.77</v>
      </c>
      <c r="H22" s="0" t="n">
        <v>3.248</v>
      </c>
      <c r="I22" s="0" t="n">
        <v>13.82</v>
      </c>
      <c r="J22" s="0" t="n">
        <v>0</v>
      </c>
      <c r="K22" s="0" t="n">
        <v>0</v>
      </c>
    </row>
    <row r="23" customFormat="false" ht="15" hidden="false" customHeight="false" outlineLevel="0" collapsed="false">
      <c r="A23" s="0" t="s">
        <v>245</v>
      </c>
      <c r="B23" s="0" t="n">
        <v>2026</v>
      </c>
      <c r="C23" s="0" t="n">
        <v>10</v>
      </c>
      <c r="D23" s="0" t="n">
        <v>2.586</v>
      </c>
      <c r="E23" s="0" t="n">
        <v>2.851</v>
      </c>
      <c r="F23" s="0" t="n">
        <v>3.14</v>
      </c>
      <c r="G23" s="0" t="n">
        <v>2.858</v>
      </c>
      <c r="H23" s="0" t="n">
        <v>3.325</v>
      </c>
      <c r="I23" s="0" t="n">
        <v>28.506</v>
      </c>
      <c r="J23" s="0" t="n">
        <v>0</v>
      </c>
      <c r="K23" s="0" t="n">
        <v>0</v>
      </c>
    </row>
    <row r="24" customFormat="false" ht="15" hidden="false" customHeight="false" outlineLevel="0" collapsed="false">
      <c r="A24" s="0" t="s">
        <v>245</v>
      </c>
      <c r="B24" s="0" t="n">
        <v>2026</v>
      </c>
      <c r="C24" s="0" t="s">
        <v>318</v>
      </c>
      <c r="E24" s="0" t="n">
        <v>2.78</v>
      </c>
      <c r="G24" s="0" t="n">
        <v>2.78</v>
      </c>
      <c r="H24" s="0" t="n">
        <v>3.276</v>
      </c>
      <c r="I24" s="0" t="n">
        <v>6.849</v>
      </c>
      <c r="L24" s="0" t="s">
        <v>319</v>
      </c>
    </row>
    <row r="25" customFormat="false" ht="15" hidden="false" customHeight="false" outlineLevel="0" collapsed="false">
      <c r="A25" s="0" t="s">
        <v>245</v>
      </c>
      <c r="B25" s="0" t="n">
        <v>2026</v>
      </c>
      <c r="C25" s="0" t="s">
        <v>320</v>
      </c>
      <c r="E25" s="0" t="n">
        <v>2.919</v>
      </c>
      <c r="G25" s="0" t="n">
        <v>2.919</v>
      </c>
      <c r="H25" s="0" t="n">
        <v>3.393</v>
      </c>
      <c r="I25" s="0" t="n">
        <v>22.559</v>
      </c>
      <c r="L25" s="0" t="s">
        <v>319</v>
      </c>
    </row>
    <row r="26" customFormat="false" ht="15" hidden="false" customHeight="false" outlineLevel="0" collapsed="false">
      <c r="A26" s="0" t="s">
        <v>247</v>
      </c>
      <c r="B26" s="0" t="n">
        <v>2026</v>
      </c>
      <c r="C26" s="0" t="n">
        <v>1</v>
      </c>
      <c r="D26" s="0" t="n">
        <v>1.185</v>
      </c>
      <c r="E26" s="0" t="n">
        <v>1.33</v>
      </c>
      <c r="F26" s="0" t="n">
        <v>1.48</v>
      </c>
      <c r="G26" s="0" t="n">
        <v>1.331</v>
      </c>
      <c r="H26" s="0" t="n">
        <v>1.902</v>
      </c>
      <c r="I26" s="0" t="n">
        <v>1.33</v>
      </c>
      <c r="J26" s="0" t="n">
        <v>0</v>
      </c>
      <c r="K26" s="0" t="n">
        <v>0</v>
      </c>
    </row>
    <row r="27" customFormat="false" ht="15" hidden="false" customHeight="false" outlineLevel="0" collapsed="false">
      <c r="A27" s="0" t="s">
        <v>247</v>
      </c>
      <c r="B27" s="0" t="n">
        <v>2026</v>
      </c>
      <c r="C27" s="0" t="n">
        <v>3</v>
      </c>
      <c r="D27" s="0" t="n">
        <v>1.21</v>
      </c>
      <c r="E27" s="0" t="n">
        <v>1.364</v>
      </c>
      <c r="F27" s="0" t="n">
        <v>1.522</v>
      </c>
      <c r="G27" s="0" t="n">
        <v>1.365</v>
      </c>
      <c r="H27" s="0" t="n">
        <v>1.863</v>
      </c>
      <c r="I27" s="0" t="n">
        <v>4.091</v>
      </c>
      <c r="J27" s="0" t="n">
        <v>0</v>
      </c>
      <c r="K27" s="0" t="n">
        <v>0</v>
      </c>
    </row>
    <row r="28" customFormat="false" ht="15" hidden="false" customHeight="false" outlineLevel="0" collapsed="false">
      <c r="A28" s="0" t="s">
        <v>247</v>
      </c>
      <c r="B28" s="0" t="n">
        <v>2026</v>
      </c>
      <c r="C28" s="0" t="n">
        <v>5</v>
      </c>
      <c r="D28" s="0" t="n">
        <v>1.235</v>
      </c>
      <c r="E28" s="0" t="n">
        <v>1.397</v>
      </c>
      <c r="F28" s="0" t="n">
        <v>1.565</v>
      </c>
      <c r="G28" s="0" t="n">
        <v>1.399</v>
      </c>
      <c r="H28" s="0" t="n">
        <v>1.882</v>
      </c>
      <c r="I28" s="0" t="n">
        <v>6.986</v>
      </c>
      <c r="J28" s="0" t="n">
        <v>0</v>
      </c>
      <c r="K28" s="0" t="n">
        <v>0</v>
      </c>
    </row>
    <row r="29" customFormat="false" ht="15" hidden="false" customHeight="false" outlineLevel="0" collapsed="false">
      <c r="A29" s="0" t="s">
        <v>247</v>
      </c>
      <c r="B29" s="0" t="n">
        <v>2026</v>
      </c>
      <c r="C29" s="0" t="n">
        <v>10</v>
      </c>
      <c r="D29" s="0" t="n">
        <v>1.294</v>
      </c>
      <c r="E29" s="0" t="n">
        <v>1.479</v>
      </c>
      <c r="F29" s="0" t="n">
        <v>1.676</v>
      </c>
      <c r="G29" s="0" t="n">
        <v>1.483</v>
      </c>
      <c r="H29" s="0" t="n">
        <v>1.954</v>
      </c>
      <c r="I29" s="0" t="n">
        <v>14.792</v>
      </c>
      <c r="J29" s="0" t="n">
        <v>0</v>
      </c>
      <c r="K29" s="0" t="n">
        <v>0</v>
      </c>
    </row>
    <row r="30" customFormat="false" ht="15" hidden="false" customHeight="false" outlineLevel="0" collapsed="false">
      <c r="A30" s="0" t="s">
        <v>247</v>
      </c>
      <c r="B30" s="0" t="n">
        <v>2026</v>
      </c>
      <c r="C30" s="0" t="s">
        <v>318</v>
      </c>
      <c r="E30" s="0" t="n">
        <v>1.408</v>
      </c>
      <c r="G30" s="0" t="n">
        <v>1.408</v>
      </c>
      <c r="H30" s="0" t="n">
        <v>1.904</v>
      </c>
      <c r="I30" s="0" t="n">
        <v>3.403</v>
      </c>
      <c r="L30" s="0" t="s">
        <v>319</v>
      </c>
    </row>
    <row r="31" customFormat="false" ht="15" hidden="false" customHeight="false" outlineLevel="0" collapsed="false">
      <c r="A31" s="0" t="s">
        <v>247</v>
      </c>
      <c r="B31" s="0" t="n">
        <v>2026</v>
      </c>
      <c r="C31" s="0" t="s">
        <v>320</v>
      </c>
      <c r="E31" s="0" t="n">
        <v>1.539</v>
      </c>
      <c r="G31" s="0" t="n">
        <v>1.539</v>
      </c>
      <c r="H31" s="0" t="n">
        <v>2.014</v>
      </c>
      <c r="I31" s="0" t="n">
        <v>11.523</v>
      </c>
      <c r="L31" s="0" t="s">
        <v>319</v>
      </c>
    </row>
    <row r="32" customFormat="false" ht="15" hidden="false" customHeight="false" outlineLevel="0" collapsed="false">
      <c r="A32" s="0" t="s">
        <v>249</v>
      </c>
      <c r="B32" s="0" t="n">
        <v>2026</v>
      </c>
      <c r="C32" s="0" t="n">
        <v>1</v>
      </c>
      <c r="D32" s="0" t="n">
        <v>0.894</v>
      </c>
      <c r="E32" s="0" t="n">
        <v>1.045</v>
      </c>
      <c r="F32" s="0" t="n">
        <v>1.193</v>
      </c>
      <c r="G32" s="0" t="n">
        <v>1.045</v>
      </c>
      <c r="H32" s="0" t="n">
        <v>1.617</v>
      </c>
      <c r="I32" s="0" t="n">
        <v>1.045</v>
      </c>
      <c r="J32" s="0" t="n">
        <v>0</v>
      </c>
      <c r="K32" s="0" t="n">
        <v>0</v>
      </c>
    </row>
    <row r="33" customFormat="false" ht="15" hidden="false" customHeight="false" outlineLevel="0" collapsed="false">
      <c r="A33" s="0" t="s">
        <v>249</v>
      </c>
      <c r="B33" s="0" t="n">
        <v>2026</v>
      </c>
      <c r="C33" s="0" t="n">
        <v>3</v>
      </c>
      <c r="D33" s="0" t="n">
        <v>0.91</v>
      </c>
      <c r="E33" s="0" t="n">
        <v>1.066</v>
      </c>
      <c r="F33" s="0" t="n">
        <v>1.218</v>
      </c>
      <c r="G33" s="0" t="n">
        <v>1.065</v>
      </c>
      <c r="H33" s="0" t="n">
        <v>1.565</v>
      </c>
      <c r="I33" s="0" t="n">
        <v>3.197</v>
      </c>
      <c r="J33" s="0" t="n">
        <v>0</v>
      </c>
      <c r="K33" s="0" t="n">
        <v>0.001</v>
      </c>
    </row>
    <row r="34" customFormat="false" ht="15" hidden="false" customHeight="false" outlineLevel="0" collapsed="false">
      <c r="A34" s="0" t="s">
        <v>249</v>
      </c>
      <c r="B34" s="0" t="n">
        <v>2026</v>
      </c>
      <c r="C34" s="0" t="n">
        <v>5</v>
      </c>
      <c r="D34" s="0" t="n">
        <v>0.926</v>
      </c>
      <c r="E34" s="0" t="n">
        <v>1.086</v>
      </c>
      <c r="F34" s="0" t="n">
        <v>1.243</v>
      </c>
      <c r="G34" s="0" t="n">
        <v>1.085</v>
      </c>
      <c r="H34" s="0" t="n">
        <v>1.571</v>
      </c>
      <c r="I34" s="0" t="n">
        <v>5.429</v>
      </c>
      <c r="J34" s="0" t="n">
        <v>0</v>
      </c>
      <c r="K34" s="0" t="n">
        <v>0.002</v>
      </c>
    </row>
    <row r="35" customFormat="false" ht="15" hidden="false" customHeight="false" outlineLevel="0" collapsed="false">
      <c r="A35" s="0" t="s">
        <v>249</v>
      </c>
      <c r="B35" s="0" t="n">
        <v>2026</v>
      </c>
      <c r="C35" s="0" t="n">
        <v>10</v>
      </c>
      <c r="D35" s="0" t="n">
        <v>0.964</v>
      </c>
      <c r="E35" s="0" t="n">
        <v>1.135</v>
      </c>
      <c r="F35" s="0" t="n">
        <v>1.307</v>
      </c>
      <c r="G35" s="0" t="n">
        <v>1.135</v>
      </c>
      <c r="H35" s="0" t="n">
        <v>1.609</v>
      </c>
      <c r="I35" s="0" t="n">
        <v>11.354</v>
      </c>
      <c r="J35" s="0" t="n">
        <v>0</v>
      </c>
      <c r="K35" s="0" t="n">
        <v>0.001</v>
      </c>
    </row>
    <row r="36" customFormat="false" ht="15" hidden="false" customHeight="false" outlineLevel="0" collapsed="false">
      <c r="A36" s="0" t="s">
        <v>249</v>
      </c>
      <c r="B36" s="0" t="n">
        <v>2026</v>
      </c>
      <c r="C36" s="0" t="s">
        <v>318</v>
      </c>
      <c r="E36" s="0" t="n">
        <v>1.09</v>
      </c>
      <c r="G36" s="0" t="n">
        <v>1.09</v>
      </c>
      <c r="H36" s="0" t="n">
        <v>1.586</v>
      </c>
      <c r="I36" s="0" t="n">
        <v>2.658</v>
      </c>
      <c r="L36" s="0" t="s">
        <v>319</v>
      </c>
    </row>
    <row r="37" customFormat="false" ht="15" hidden="false" customHeight="false" outlineLevel="0" collapsed="false">
      <c r="A37" s="0" t="s">
        <v>249</v>
      </c>
      <c r="B37" s="0" t="n">
        <v>2026</v>
      </c>
      <c r="C37" s="0" t="s">
        <v>320</v>
      </c>
      <c r="E37" s="0" t="n">
        <v>1.169</v>
      </c>
      <c r="G37" s="0" t="n">
        <v>1.169</v>
      </c>
      <c r="H37" s="0" t="n">
        <v>1.643</v>
      </c>
      <c r="I37" s="0" t="n">
        <v>8.881</v>
      </c>
      <c r="L37" s="0" t="s">
        <v>319</v>
      </c>
    </row>
    <row r="38" customFormat="false" ht="15" hidden="false" customHeight="false" outlineLevel="0" collapsed="false">
      <c r="A38" s="0" t="s">
        <v>251</v>
      </c>
      <c r="B38" s="0" t="n">
        <v>2026</v>
      </c>
      <c r="C38" s="0" t="n">
        <v>1</v>
      </c>
      <c r="D38" s="0" t="n">
        <v>1.335</v>
      </c>
      <c r="E38" s="0" t="n">
        <v>1.585</v>
      </c>
      <c r="F38" s="0" t="n">
        <v>1.845</v>
      </c>
      <c r="G38" s="0" t="n">
        <v>1.588</v>
      </c>
      <c r="H38" s="0" t="n">
        <v>2.158</v>
      </c>
      <c r="I38" s="0" t="n">
        <v>1.585</v>
      </c>
      <c r="J38" s="0" t="n">
        <v>0</v>
      </c>
      <c r="K38" s="0" t="n">
        <v>0</v>
      </c>
    </row>
    <row r="39" customFormat="false" ht="15" hidden="false" customHeight="false" outlineLevel="0" collapsed="false">
      <c r="A39" s="0" t="s">
        <v>251</v>
      </c>
      <c r="B39" s="0" t="n">
        <v>2026</v>
      </c>
      <c r="C39" s="0" t="n">
        <v>3</v>
      </c>
      <c r="D39" s="0" t="n">
        <v>1.352</v>
      </c>
      <c r="E39" s="0" t="n">
        <v>1.605</v>
      </c>
      <c r="F39" s="0" t="n">
        <v>1.867</v>
      </c>
      <c r="G39" s="0" t="n">
        <v>1.608</v>
      </c>
      <c r="H39" s="0" t="n">
        <v>2.106</v>
      </c>
      <c r="I39" s="0" t="n">
        <v>4.815</v>
      </c>
      <c r="J39" s="0" t="n">
        <v>0</v>
      </c>
      <c r="K39" s="0" t="n">
        <v>0</v>
      </c>
    </row>
    <row r="40" customFormat="false" ht="15" hidden="false" customHeight="false" outlineLevel="0" collapsed="false">
      <c r="A40" s="0" t="s">
        <v>251</v>
      </c>
      <c r="B40" s="0" t="n">
        <v>2026</v>
      </c>
      <c r="C40" s="0" t="n">
        <v>5</v>
      </c>
      <c r="D40" s="0" t="n">
        <v>1.37</v>
      </c>
      <c r="E40" s="0" t="n">
        <v>1.626</v>
      </c>
      <c r="F40" s="0" t="n">
        <v>1.89</v>
      </c>
      <c r="G40" s="0" t="n">
        <v>1.628</v>
      </c>
      <c r="H40" s="0" t="n">
        <v>2.111</v>
      </c>
      <c r="I40" s="0" t="n">
        <v>8.13</v>
      </c>
      <c r="J40" s="0" t="n">
        <v>0</v>
      </c>
      <c r="K40" s="0" t="n">
        <v>0</v>
      </c>
    </row>
    <row r="41" customFormat="false" ht="15" hidden="false" customHeight="false" outlineLevel="0" collapsed="false">
      <c r="A41" s="0" t="s">
        <v>251</v>
      </c>
      <c r="B41" s="0" t="n">
        <v>2026</v>
      </c>
      <c r="C41" s="0" t="n">
        <v>10</v>
      </c>
      <c r="D41" s="0" t="n">
        <v>1.413</v>
      </c>
      <c r="E41" s="0" t="n">
        <v>1.676</v>
      </c>
      <c r="F41" s="0" t="n">
        <v>1.948</v>
      </c>
      <c r="G41" s="0" t="n">
        <v>1.678</v>
      </c>
      <c r="H41" s="0" t="n">
        <v>2.15</v>
      </c>
      <c r="I41" s="0" t="n">
        <v>16.755</v>
      </c>
      <c r="J41" s="0" t="n">
        <v>0</v>
      </c>
      <c r="K41" s="0" t="n">
        <v>0</v>
      </c>
    </row>
    <row r="42" customFormat="false" ht="15" hidden="false" customHeight="false" outlineLevel="0" collapsed="false">
      <c r="A42" s="0" t="s">
        <v>251</v>
      </c>
      <c r="B42" s="0" t="n">
        <v>2026</v>
      </c>
      <c r="C42" s="0" t="s">
        <v>318</v>
      </c>
      <c r="E42" s="0" t="n">
        <v>1.634</v>
      </c>
      <c r="G42" s="0" t="n">
        <v>1.634</v>
      </c>
      <c r="H42" s="0" t="n">
        <v>2.129</v>
      </c>
      <c r="I42" s="0" t="n">
        <v>4.02</v>
      </c>
      <c r="L42" s="0" t="s">
        <v>319</v>
      </c>
    </row>
    <row r="43" customFormat="false" ht="15" hidden="false" customHeight="false" outlineLevel="0" collapsed="false">
      <c r="A43" s="0" t="s">
        <v>251</v>
      </c>
      <c r="B43" s="0" t="n">
        <v>2026</v>
      </c>
      <c r="C43" s="0" t="s">
        <v>320</v>
      </c>
      <c r="E43" s="0" t="n">
        <v>1.712</v>
      </c>
      <c r="G43" s="0" t="n">
        <v>1.712</v>
      </c>
      <c r="H43" s="0" t="n">
        <v>2.187</v>
      </c>
      <c r="I43" s="0" t="n">
        <v>13.189</v>
      </c>
      <c r="L43" s="0" t="s">
        <v>319</v>
      </c>
    </row>
    <row r="44" customFormat="false" ht="15" hidden="false" customHeight="false" outlineLevel="0" collapsed="false">
      <c r="A44" s="0" t="s">
        <v>253</v>
      </c>
      <c r="B44" s="0" t="n">
        <v>2026</v>
      </c>
      <c r="C44" s="0" t="n">
        <v>1</v>
      </c>
      <c r="D44" s="0" t="n">
        <v>1.231</v>
      </c>
      <c r="E44" s="0" t="n">
        <v>1.443</v>
      </c>
      <c r="F44" s="0" t="n">
        <v>1.687</v>
      </c>
      <c r="G44" s="0" t="n">
        <v>1.452</v>
      </c>
      <c r="H44" s="0" t="n">
        <v>2.014</v>
      </c>
      <c r="I44" s="0" t="n">
        <v>1.443</v>
      </c>
      <c r="J44" s="0" t="n">
        <v>0</v>
      </c>
      <c r="K44" s="0" t="n">
        <v>0</v>
      </c>
    </row>
    <row r="45" customFormat="false" ht="15" hidden="false" customHeight="false" outlineLevel="0" collapsed="false">
      <c r="A45" s="0" t="s">
        <v>253</v>
      </c>
      <c r="B45" s="0" t="n">
        <v>2026</v>
      </c>
      <c r="C45" s="0" t="n">
        <v>3</v>
      </c>
      <c r="D45" s="0" t="n">
        <v>1.248</v>
      </c>
      <c r="E45" s="0" t="n">
        <v>1.473</v>
      </c>
      <c r="F45" s="0" t="n">
        <v>1.74</v>
      </c>
      <c r="G45" s="0" t="n">
        <v>1.484</v>
      </c>
      <c r="H45" s="0" t="n">
        <v>1.972</v>
      </c>
      <c r="I45" s="0" t="n">
        <v>4.419</v>
      </c>
      <c r="J45" s="0" t="n">
        <v>0</v>
      </c>
      <c r="K45" s="0" t="n">
        <v>0</v>
      </c>
    </row>
    <row r="46" customFormat="false" ht="15" hidden="false" customHeight="false" outlineLevel="0" collapsed="false">
      <c r="A46" s="0" t="s">
        <v>253</v>
      </c>
      <c r="B46" s="0" t="n">
        <v>2026</v>
      </c>
      <c r="C46" s="0" t="n">
        <v>5</v>
      </c>
      <c r="D46" s="0" t="n">
        <v>1.264</v>
      </c>
      <c r="E46" s="0" t="n">
        <v>1.503</v>
      </c>
      <c r="F46" s="0" t="n">
        <v>1.795</v>
      </c>
      <c r="G46" s="0" t="n">
        <v>1.516</v>
      </c>
      <c r="H46" s="0" t="n">
        <v>1.987</v>
      </c>
      <c r="I46" s="0" t="n">
        <v>7.513</v>
      </c>
      <c r="J46" s="0" t="n">
        <v>0</v>
      </c>
      <c r="K46" s="0" t="n">
        <v>0</v>
      </c>
    </row>
    <row r="47" customFormat="false" ht="15" hidden="false" customHeight="false" outlineLevel="0" collapsed="false">
      <c r="A47" s="0" t="s">
        <v>253</v>
      </c>
      <c r="B47" s="0" t="n">
        <v>2026</v>
      </c>
      <c r="C47" s="0" t="n">
        <v>10</v>
      </c>
      <c r="D47" s="0" t="n">
        <v>1.303</v>
      </c>
      <c r="E47" s="0" t="n">
        <v>1.576</v>
      </c>
      <c r="F47" s="0" t="n">
        <v>1.927</v>
      </c>
      <c r="G47" s="0" t="n">
        <v>1.596</v>
      </c>
      <c r="H47" s="0" t="n">
        <v>2.05</v>
      </c>
      <c r="I47" s="0" t="n">
        <v>15.76</v>
      </c>
      <c r="J47" s="0" t="n">
        <v>0</v>
      </c>
      <c r="K47" s="0" t="n">
        <v>0</v>
      </c>
    </row>
    <row r="48" customFormat="false" ht="15" hidden="false" customHeight="false" outlineLevel="0" collapsed="false">
      <c r="A48" s="0" t="s">
        <v>253</v>
      </c>
      <c r="B48" s="0" t="n">
        <v>2026</v>
      </c>
      <c r="C48" s="0" t="s">
        <v>318</v>
      </c>
      <c r="E48" s="0" t="n">
        <v>1.527</v>
      </c>
      <c r="G48" s="0" t="n">
        <v>1.527</v>
      </c>
      <c r="H48" s="0" t="n">
        <v>2.023</v>
      </c>
      <c r="I48" s="0" t="n">
        <v>3.681</v>
      </c>
      <c r="L48" s="0" t="s">
        <v>319</v>
      </c>
    </row>
    <row r="49" customFormat="false" ht="15" hidden="false" customHeight="false" outlineLevel="0" collapsed="false">
      <c r="A49" s="0" t="s">
        <v>253</v>
      </c>
      <c r="B49" s="0" t="n">
        <v>2026</v>
      </c>
      <c r="C49" s="0" t="s">
        <v>320</v>
      </c>
      <c r="E49" s="0" t="n">
        <v>1.651</v>
      </c>
      <c r="G49" s="0" t="n">
        <v>1.651</v>
      </c>
      <c r="H49" s="0" t="n">
        <v>2.126</v>
      </c>
      <c r="I49" s="0" t="n">
        <v>12.344</v>
      </c>
      <c r="L49" s="0" t="s">
        <v>319</v>
      </c>
    </row>
    <row r="50" customFormat="false" ht="15" hidden="false" customHeight="false" outlineLevel="0" collapsed="false">
      <c r="A50" s="0" t="s">
        <v>255</v>
      </c>
      <c r="B50" s="0" t="n">
        <v>2026</v>
      </c>
      <c r="C50" s="0" t="n">
        <v>1</v>
      </c>
      <c r="D50" s="0" t="n">
        <v>1.262</v>
      </c>
      <c r="E50" s="0" t="n">
        <v>1.474</v>
      </c>
      <c r="F50" s="0" t="n">
        <v>1.722</v>
      </c>
      <c r="G50" s="0" t="n">
        <v>1.484</v>
      </c>
      <c r="H50" s="0" t="n">
        <v>2.045</v>
      </c>
      <c r="I50" s="0" t="n">
        <v>1.474</v>
      </c>
      <c r="J50" s="0" t="n">
        <v>0</v>
      </c>
      <c r="K50" s="0" t="n">
        <v>0</v>
      </c>
    </row>
    <row r="51" customFormat="false" ht="15" hidden="false" customHeight="false" outlineLevel="0" collapsed="false">
      <c r="A51" s="0" t="s">
        <v>255</v>
      </c>
      <c r="B51" s="0" t="n">
        <v>2026</v>
      </c>
      <c r="C51" s="0" t="n">
        <v>3</v>
      </c>
      <c r="D51" s="0" t="n">
        <v>1.278</v>
      </c>
      <c r="E51" s="0" t="n">
        <v>1.504</v>
      </c>
      <c r="F51" s="0" t="n">
        <v>1.775</v>
      </c>
      <c r="G51" s="0" t="n">
        <v>1.516</v>
      </c>
      <c r="H51" s="0" t="n">
        <v>2.004</v>
      </c>
      <c r="I51" s="0" t="n">
        <v>4.512</v>
      </c>
      <c r="J51" s="0" t="n">
        <v>0</v>
      </c>
      <c r="K51" s="0" t="n">
        <v>0</v>
      </c>
    </row>
    <row r="52" customFormat="false" ht="15" hidden="false" customHeight="false" outlineLevel="0" collapsed="false">
      <c r="A52" s="0" t="s">
        <v>255</v>
      </c>
      <c r="B52" s="0" t="n">
        <v>2026</v>
      </c>
      <c r="C52" s="0" t="n">
        <v>5</v>
      </c>
      <c r="D52" s="0" t="n">
        <v>1.293</v>
      </c>
      <c r="E52" s="0" t="n">
        <v>1.534</v>
      </c>
      <c r="F52" s="0" t="n">
        <v>1.829</v>
      </c>
      <c r="G52" s="0" t="n">
        <v>1.548</v>
      </c>
      <c r="H52" s="0" t="n">
        <v>2.019</v>
      </c>
      <c r="I52" s="0" t="n">
        <v>7.672</v>
      </c>
      <c r="J52" s="0" t="n">
        <v>0</v>
      </c>
      <c r="K52" s="0" t="n">
        <v>0</v>
      </c>
    </row>
    <row r="53" customFormat="false" ht="15" hidden="false" customHeight="false" outlineLevel="0" collapsed="false">
      <c r="A53" s="0" t="s">
        <v>255</v>
      </c>
      <c r="B53" s="0" t="n">
        <v>2026</v>
      </c>
      <c r="C53" s="0" t="n">
        <v>10</v>
      </c>
      <c r="D53" s="0" t="n">
        <v>1.331</v>
      </c>
      <c r="E53" s="0" t="n">
        <v>1.607</v>
      </c>
      <c r="F53" s="0" t="n">
        <v>1.963</v>
      </c>
      <c r="G53" s="0" t="n">
        <v>1.628</v>
      </c>
      <c r="H53" s="0" t="n">
        <v>2.08</v>
      </c>
      <c r="I53" s="0" t="n">
        <v>16.066</v>
      </c>
      <c r="J53" s="0" t="n">
        <v>0</v>
      </c>
      <c r="K53" s="0" t="n">
        <v>0</v>
      </c>
    </row>
    <row r="54" customFormat="false" ht="15" hidden="false" customHeight="false" outlineLevel="0" collapsed="false">
      <c r="A54" s="0" t="s">
        <v>255</v>
      </c>
      <c r="B54" s="0" t="n">
        <v>2026</v>
      </c>
      <c r="C54" s="0" t="s">
        <v>318</v>
      </c>
      <c r="E54" s="0" t="n">
        <v>1.558</v>
      </c>
      <c r="G54" s="0" t="n">
        <v>1.558</v>
      </c>
      <c r="H54" s="0" t="n">
        <v>2.054</v>
      </c>
      <c r="I54" s="0" t="n">
        <v>3.762</v>
      </c>
      <c r="L54" s="0" t="s">
        <v>319</v>
      </c>
    </row>
    <row r="55" customFormat="false" ht="15" hidden="false" customHeight="false" outlineLevel="0" collapsed="false">
      <c r="A55" s="0" t="s">
        <v>255</v>
      </c>
      <c r="B55" s="0" t="n">
        <v>2026</v>
      </c>
      <c r="C55" s="0" t="s">
        <v>320</v>
      </c>
      <c r="E55" s="0" t="n">
        <v>1.682</v>
      </c>
      <c r="G55" s="0" t="n">
        <v>1.682</v>
      </c>
      <c r="H55" s="0" t="n">
        <v>2.157</v>
      </c>
      <c r="I55" s="0" t="n">
        <v>12.597</v>
      </c>
      <c r="L55" s="0" t="s">
        <v>319</v>
      </c>
    </row>
    <row r="56" customFormat="false" ht="15" hidden="false" customHeight="false" outlineLevel="0" collapsed="false">
      <c r="A56" s="0" t="s">
        <v>255</v>
      </c>
      <c r="B56" s="0" t="n">
        <v>2027</v>
      </c>
      <c r="C56" s="0" t="n">
        <v>1</v>
      </c>
      <c r="D56" s="0" t="n">
        <v>1.601</v>
      </c>
      <c r="E56" s="0" t="n">
        <v>1.872</v>
      </c>
      <c r="F56" s="0" t="n">
        <v>2.169</v>
      </c>
      <c r="G56" s="0" t="n">
        <v>1.879</v>
      </c>
      <c r="H56" s="0" t="n">
        <v>2.442</v>
      </c>
      <c r="I56" s="0" t="n">
        <v>1.872</v>
      </c>
      <c r="J56" s="0" t="n">
        <v>0</v>
      </c>
      <c r="K56" s="0" t="n">
        <v>0</v>
      </c>
    </row>
    <row r="57" customFormat="false" ht="15" hidden="false" customHeight="false" outlineLevel="0" collapsed="false">
      <c r="A57" s="0" t="s">
        <v>255</v>
      </c>
      <c r="B57" s="0" t="n">
        <v>2027</v>
      </c>
      <c r="C57" s="0" t="n">
        <v>3</v>
      </c>
      <c r="D57" s="0" t="n">
        <v>1.619</v>
      </c>
      <c r="E57" s="0" t="n">
        <v>1.901</v>
      </c>
      <c r="F57" s="0" t="n">
        <v>2.217</v>
      </c>
      <c r="G57" s="0" t="n">
        <v>1.911</v>
      </c>
      <c r="H57" s="0" t="n">
        <v>2.4</v>
      </c>
      <c r="I57" s="0" t="n">
        <v>5.704</v>
      </c>
      <c r="J57" s="0" t="n">
        <v>0</v>
      </c>
      <c r="K57" s="0" t="n">
        <v>0</v>
      </c>
    </row>
    <row r="58" customFormat="false" ht="15" hidden="false" customHeight="false" outlineLevel="0" collapsed="false">
      <c r="A58" s="0" t="s">
        <v>255</v>
      </c>
      <c r="B58" s="0" t="n">
        <v>2027</v>
      </c>
      <c r="C58" s="0" t="n">
        <v>5</v>
      </c>
      <c r="D58" s="0" t="n">
        <v>1.638</v>
      </c>
      <c r="E58" s="0" t="n">
        <v>1.932</v>
      </c>
      <c r="F58" s="0" t="n">
        <v>2.266</v>
      </c>
      <c r="G58" s="0" t="n">
        <v>1.943</v>
      </c>
      <c r="H58" s="0" t="n">
        <v>2.416</v>
      </c>
      <c r="I58" s="0" t="n">
        <v>9.658</v>
      </c>
      <c r="J58" s="0" t="n">
        <v>0</v>
      </c>
      <c r="K58" s="0" t="n">
        <v>0</v>
      </c>
    </row>
    <row r="59" customFormat="false" ht="15" hidden="false" customHeight="false" outlineLevel="0" collapsed="false">
      <c r="A59" s="0" t="s">
        <v>255</v>
      </c>
      <c r="B59" s="0" t="n">
        <v>2027</v>
      </c>
      <c r="C59" s="0" t="n">
        <v>10</v>
      </c>
      <c r="D59" s="0" t="n">
        <v>1.682</v>
      </c>
      <c r="E59" s="0" t="n">
        <v>2.006</v>
      </c>
      <c r="F59" s="0" t="n">
        <v>2.392</v>
      </c>
      <c r="G59" s="0" t="n">
        <v>2.023</v>
      </c>
      <c r="H59" s="0" t="n">
        <v>2.48</v>
      </c>
      <c r="I59" s="0" t="n">
        <v>20.062</v>
      </c>
      <c r="J59" s="0" t="n">
        <v>0</v>
      </c>
      <c r="K59" s="0" t="n">
        <v>0</v>
      </c>
    </row>
    <row r="60" customFormat="false" ht="15" hidden="false" customHeight="false" outlineLevel="0" collapsed="false">
      <c r="A60" s="0" t="s">
        <v>255</v>
      </c>
      <c r="B60" s="0" t="n">
        <v>2027</v>
      </c>
      <c r="C60" s="0" t="s">
        <v>318</v>
      </c>
      <c r="E60" s="0" t="n">
        <v>1.954</v>
      </c>
      <c r="G60" s="0" t="n">
        <v>1.954</v>
      </c>
      <c r="H60" s="0" t="n">
        <v>2.45</v>
      </c>
      <c r="I60" s="0" t="n">
        <v>4.742</v>
      </c>
      <c r="L60" s="0" t="s">
        <v>319</v>
      </c>
    </row>
    <row r="61" customFormat="false" ht="15" hidden="false" customHeight="false" outlineLevel="0" collapsed="false">
      <c r="A61" s="0" t="s">
        <v>255</v>
      </c>
      <c r="B61" s="0" t="n">
        <v>2027</v>
      </c>
      <c r="C61" s="0" t="s">
        <v>320</v>
      </c>
      <c r="E61" s="0" t="n">
        <v>2.078</v>
      </c>
      <c r="G61" s="0" t="n">
        <v>2.078</v>
      </c>
      <c r="H61" s="0" t="n">
        <v>2.553</v>
      </c>
      <c r="I61" s="0" t="n">
        <v>15.719</v>
      </c>
      <c r="L61" s="0" t="s">
        <v>319</v>
      </c>
    </row>
    <row r="62" customFormat="false" ht="15" hidden="false" customHeight="false" outlineLevel="0" collapsed="false">
      <c r="A62" s="0" t="s">
        <v>258</v>
      </c>
      <c r="B62" s="0" t="n">
        <v>2026</v>
      </c>
      <c r="C62" s="0" t="n">
        <v>1</v>
      </c>
      <c r="D62" s="0" t="n">
        <v>0.934</v>
      </c>
      <c r="E62" s="0" t="n">
        <v>1.091</v>
      </c>
      <c r="F62" s="0" t="n">
        <v>1.243</v>
      </c>
      <c r="G62" s="0" t="n">
        <v>1.089</v>
      </c>
      <c r="H62" s="0" t="n">
        <v>1.662</v>
      </c>
      <c r="I62" s="0" t="n">
        <v>1.091</v>
      </c>
      <c r="J62" s="0" t="n">
        <v>0</v>
      </c>
      <c r="K62" s="0" t="n">
        <v>0</v>
      </c>
    </row>
    <row r="63" customFormat="false" ht="15" hidden="false" customHeight="false" outlineLevel="0" collapsed="false">
      <c r="A63" s="0" t="s">
        <v>258</v>
      </c>
      <c r="B63" s="0" t="n">
        <v>2026</v>
      </c>
      <c r="C63" s="0" t="n">
        <v>3</v>
      </c>
      <c r="D63" s="0" t="n">
        <v>0.95</v>
      </c>
      <c r="E63" s="0" t="n">
        <v>1.111</v>
      </c>
      <c r="F63" s="0" t="n">
        <v>1.267</v>
      </c>
      <c r="G63" s="0" t="n">
        <v>1.109</v>
      </c>
      <c r="H63" s="0" t="n">
        <v>1.61</v>
      </c>
      <c r="I63" s="0" t="n">
        <v>3.332</v>
      </c>
      <c r="J63" s="0" t="n">
        <v>0</v>
      </c>
      <c r="K63" s="0" t="n">
        <v>0</v>
      </c>
    </row>
    <row r="64" customFormat="false" ht="15" hidden="false" customHeight="false" outlineLevel="0" collapsed="false">
      <c r="A64" s="0" t="s">
        <v>258</v>
      </c>
      <c r="B64" s="0" t="n">
        <v>2026</v>
      </c>
      <c r="C64" s="0" t="n">
        <v>5</v>
      </c>
      <c r="D64" s="0" t="n">
        <v>0.966</v>
      </c>
      <c r="E64" s="0" t="n">
        <v>1.13</v>
      </c>
      <c r="F64" s="0" t="n">
        <v>1.292</v>
      </c>
      <c r="G64" s="0" t="n">
        <v>1.13</v>
      </c>
      <c r="H64" s="0" t="n">
        <v>1.615</v>
      </c>
      <c r="I64" s="0" t="n">
        <v>5.652</v>
      </c>
      <c r="J64" s="0" t="n">
        <v>0</v>
      </c>
      <c r="K64" s="0" t="n">
        <v>0.001</v>
      </c>
    </row>
    <row r="65" customFormat="false" ht="15" hidden="false" customHeight="false" outlineLevel="0" collapsed="false">
      <c r="A65" s="0" t="s">
        <v>258</v>
      </c>
      <c r="B65" s="0" t="n">
        <v>2026</v>
      </c>
      <c r="C65" s="0" t="n">
        <v>10</v>
      </c>
      <c r="D65" s="0" t="n">
        <v>1.003</v>
      </c>
      <c r="E65" s="0" t="n">
        <v>1.18</v>
      </c>
      <c r="F65" s="0" t="n">
        <v>1.358</v>
      </c>
      <c r="G65" s="0" t="n">
        <v>1.18</v>
      </c>
      <c r="H65" s="0" t="n">
        <v>1.654</v>
      </c>
      <c r="I65" s="0" t="n">
        <v>11.797</v>
      </c>
      <c r="J65" s="0" t="n">
        <v>0</v>
      </c>
      <c r="K65" s="0" t="n">
        <v>0</v>
      </c>
    </row>
    <row r="66" customFormat="false" ht="15" hidden="false" customHeight="false" outlineLevel="0" collapsed="false">
      <c r="A66" s="0" t="s">
        <v>258</v>
      </c>
      <c r="B66" s="0" t="n">
        <v>2026</v>
      </c>
      <c r="C66" s="0" t="s">
        <v>318</v>
      </c>
      <c r="E66" s="0" t="n">
        <v>1.135</v>
      </c>
      <c r="G66" s="0" t="n">
        <v>1.135</v>
      </c>
      <c r="H66" s="0" t="n">
        <v>1.631</v>
      </c>
      <c r="I66" s="0" t="n">
        <v>2.769</v>
      </c>
      <c r="L66" s="0" t="s">
        <v>319</v>
      </c>
    </row>
    <row r="67" customFormat="false" ht="15" hidden="false" customHeight="false" outlineLevel="0" collapsed="false">
      <c r="A67" s="0" t="s">
        <v>258</v>
      </c>
      <c r="B67" s="0" t="n">
        <v>2026</v>
      </c>
      <c r="C67" s="0" t="s">
        <v>320</v>
      </c>
      <c r="E67" s="0" t="n">
        <v>1.214</v>
      </c>
      <c r="G67" s="0" t="n">
        <v>1.214</v>
      </c>
      <c r="H67" s="0" t="n">
        <v>1.688</v>
      </c>
      <c r="I67" s="0" t="n">
        <v>9.235</v>
      </c>
      <c r="L67" s="0" t="s">
        <v>319</v>
      </c>
    </row>
    <row r="68" customFormat="false" ht="15" hidden="false" customHeight="false" outlineLevel="0" collapsed="false">
      <c r="A68" s="0" t="s">
        <v>258</v>
      </c>
      <c r="B68" s="0" t="n">
        <v>2027</v>
      </c>
      <c r="C68" s="0" t="n">
        <v>1</v>
      </c>
      <c r="D68" s="0" t="n">
        <v>1.263</v>
      </c>
      <c r="E68" s="0" t="n">
        <v>1.485</v>
      </c>
      <c r="F68" s="0" t="n">
        <v>1.706</v>
      </c>
      <c r="G68" s="0" t="n">
        <v>1.485</v>
      </c>
      <c r="H68" s="0" t="n">
        <v>2.056</v>
      </c>
      <c r="I68" s="0" t="n">
        <v>1.485</v>
      </c>
      <c r="J68" s="0" t="n">
        <v>0</v>
      </c>
      <c r="K68" s="0" t="n">
        <v>0</v>
      </c>
    </row>
    <row r="69" customFormat="false" ht="15" hidden="false" customHeight="false" outlineLevel="0" collapsed="false">
      <c r="A69" s="0" t="s">
        <v>258</v>
      </c>
      <c r="B69" s="0" t="n">
        <v>2027</v>
      </c>
      <c r="C69" s="0" t="n">
        <v>3</v>
      </c>
      <c r="D69" s="0" t="n">
        <v>1.279</v>
      </c>
      <c r="E69" s="0" t="n">
        <v>1.504</v>
      </c>
      <c r="F69" s="0" t="n">
        <v>1.732</v>
      </c>
      <c r="G69" s="0" t="n">
        <v>1.505</v>
      </c>
      <c r="H69" s="0" t="n">
        <v>2.005</v>
      </c>
      <c r="I69" s="0" t="n">
        <v>4.513</v>
      </c>
      <c r="J69" s="0" t="n">
        <v>0</v>
      </c>
      <c r="K69" s="0" t="n">
        <v>0</v>
      </c>
    </row>
    <row r="70" customFormat="false" ht="15" hidden="false" customHeight="false" outlineLevel="0" collapsed="false">
      <c r="A70" s="0" t="s">
        <v>258</v>
      </c>
      <c r="B70" s="0" t="n">
        <v>2027</v>
      </c>
      <c r="C70" s="0" t="n">
        <v>5</v>
      </c>
      <c r="D70" s="0" t="n">
        <v>1.297</v>
      </c>
      <c r="E70" s="0" t="n">
        <v>1.524</v>
      </c>
      <c r="F70" s="0" t="n">
        <v>1.756</v>
      </c>
      <c r="G70" s="0" t="n">
        <v>1.525</v>
      </c>
      <c r="H70" s="0" t="n">
        <v>2.01</v>
      </c>
      <c r="I70" s="0" t="n">
        <v>7.618</v>
      </c>
      <c r="J70" s="0" t="n">
        <v>0</v>
      </c>
      <c r="K70" s="0" t="n">
        <v>0</v>
      </c>
    </row>
    <row r="71" customFormat="false" ht="15" hidden="false" customHeight="false" outlineLevel="0" collapsed="false">
      <c r="A71" s="0" t="s">
        <v>258</v>
      </c>
      <c r="B71" s="0" t="n">
        <v>2027</v>
      </c>
      <c r="C71" s="0" t="n">
        <v>10</v>
      </c>
      <c r="D71" s="0" t="n">
        <v>1.337</v>
      </c>
      <c r="E71" s="0" t="n">
        <v>1.574</v>
      </c>
      <c r="F71" s="0" t="n">
        <v>1.817</v>
      </c>
      <c r="G71" s="0" t="n">
        <v>1.576</v>
      </c>
      <c r="H71" s="0" t="n">
        <v>2.048</v>
      </c>
      <c r="I71" s="0" t="n">
        <v>15.74</v>
      </c>
      <c r="J71" s="0" t="n">
        <v>0</v>
      </c>
      <c r="K71" s="0" t="n">
        <v>0</v>
      </c>
    </row>
    <row r="72" customFormat="false" ht="15" hidden="false" customHeight="false" outlineLevel="0" collapsed="false">
      <c r="A72" s="0" t="s">
        <v>258</v>
      </c>
      <c r="B72" s="0" t="n">
        <v>2027</v>
      </c>
      <c r="C72" s="0" t="s">
        <v>318</v>
      </c>
      <c r="E72" s="0" t="n">
        <v>1.53</v>
      </c>
      <c r="G72" s="0" t="n">
        <v>1.53</v>
      </c>
      <c r="H72" s="0" t="n">
        <v>2.026</v>
      </c>
      <c r="I72" s="0" t="n">
        <v>3.764</v>
      </c>
      <c r="L72" s="0" t="s">
        <v>319</v>
      </c>
    </row>
    <row r="73" customFormat="false" ht="15" hidden="false" customHeight="false" outlineLevel="0" collapsed="false">
      <c r="A73" s="0" t="s">
        <v>258</v>
      </c>
      <c r="B73" s="0" t="n">
        <v>2027</v>
      </c>
      <c r="C73" s="0" t="s">
        <v>320</v>
      </c>
      <c r="E73" s="0" t="n">
        <v>1.609</v>
      </c>
      <c r="G73" s="0" t="n">
        <v>1.609</v>
      </c>
      <c r="H73" s="0" t="n">
        <v>2.084</v>
      </c>
      <c r="I73" s="0" t="n">
        <v>12.387</v>
      </c>
      <c r="L73" s="0" t="s">
        <v>319</v>
      </c>
    </row>
    <row r="74" customFormat="false" ht="15" hidden="false" customHeight="false" outlineLevel="0" collapsed="false">
      <c r="A74" s="0" t="s">
        <v>261</v>
      </c>
      <c r="B74" s="0" t="n">
        <v>2026</v>
      </c>
      <c r="C74" s="0" t="n">
        <v>1</v>
      </c>
      <c r="D74" s="0" t="n">
        <v>0.845</v>
      </c>
      <c r="E74" s="0" t="n">
        <v>1.031</v>
      </c>
      <c r="F74" s="0" t="n">
        <v>1.248</v>
      </c>
      <c r="G74" s="0" t="n">
        <v>1.039</v>
      </c>
      <c r="H74" s="0" t="n">
        <v>1.603</v>
      </c>
      <c r="I74" s="0" t="n">
        <v>1.031</v>
      </c>
      <c r="J74" s="0" t="n">
        <v>0</v>
      </c>
      <c r="K74" s="0" t="n">
        <v>0.001</v>
      </c>
    </row>
    <row r="75" customFormat="false" ht="15" hidden="false" customHeight="false" outlineLevel="0" collapsed="false">
      <c r="A75" s="0" t="s">
        <v>261</v>
      </c>
      <c r="B75" s="0" t="n">
        <v>2026</v>
      </c>
      <c r="C75" s="0" t="n">
        <v>3</v>
      </c>
      <c r="D75" s="0" t="n">
        <v>0.874</v>
      </c>
      <c r="E75" s="0" t="n">
        <v>1.065</v>
      </c>
      <c r="F75" s="0" t="n">
        <v>1.286</v>
      </c>
      <c r="G75" s="0" t="n">
        <v>1.073</v>
      </c>
      <c r="H75" s="0" t="n">
        <v>1.565</v>
      </c>
      <c r="I75" s="0" t="n">
        <v>3.196</v>
      </c>
      <c r="J75" s="0" t="n">
        <v>0</v>
      </c>
      <c r="K75" s="0" t="n">
        <v>0.003</v>
      </c>
    </row>
    <row r="76" customFormat="false" ht="15" hidden="false" customHeight="false" outlineLevel="0" collapsed="false">
      <c r="A76" s="0" t="s">
        <v>261</v>
      </c>
      <c r="B76" s="0" t="n">
        <v>2026</v>
      </c>
      <c r="C76" s="0" t="n">
        <v>5</v>
      </c>
      <c r="D76" s="0" t="n">
        <v>0.902</v>
      </c>
      <c r="E76" s="0" t="n">
        <v>1.099</v>
      </c>
      <c r="F76" s="0" t="n">
        <v>1.324</v>
      </c>
      <c r="G76" s="0" t="n">
        <v>1.107</v>
      </c>
      <c r="H76" s="0" t="n">
        <v>1.584</v>
      </c>
      <c r="I76" s="0" t="n">
        <v>5.494</v>
      </c>
      <c r="J76" s="0" t="n">
        <v>0</v>
      </c>
      <c r="K76" s="0" t="n">
        <v>0.002</v>
      </c>
    </row>
    <row r="77" customFormat="false" ht="15" hidden="false" customHeight="false" outlineLevel="0" collapsed="false">
      <c r="A77" s="0" t="s">
        <v>261</v>
      </c>
      <c r="B77" s="0" t="n">
        <v>2026</v>
      </c>
      <c r="C77" s="0" t="n">
        <v>10</v>
      </c>
      <c r="D77" s="0" t="n">
        <v>0.969</v>
      </c>
      <c r="E77" s="0" t="n">
        <v>1.183</v>
      </c>
      <c r="F77" s="0" t="n">
        <v>1.425</v>
      </c>
      <c r="G77" s="0" t="n">
        <v>1.191</v>
      </c>
      <c r="H77" s="0" t="n">
        <v>1.658</v>
      </c>
      <c r="I77" s="0" t="n">
        <v>11.834</v>
      </c>
      <c r="J77" s="0" t="n">
        <v>0</v>
      </c>
      <c r="K77" s="0" t="n">
        <v>0.001</v>
      </c>
    </row>
    <row r="78" customFormat="false" ht="15" hidden="false" customHeight="false" outlineLevel="0" collapsed="false">
      <c r="A78" s="0" t="s">
        <v>261</v>
      </c>
      <c r="B78" s="0" t="n">
        <v>2026</v>
      </c>
      <c r="C78" s="0" t="s">
        <v>318</v>
      </c>
      <c r="E78" s="0" t="n">
        <v>1.117</v>
      </c>
      <c r="G78" s="0" t="n">
        <v>1.117</v>
      </c>
      <c r="H78" s="0" t="n">
        <v>1.613</v>
      </c>
      <c r="I78" s="0" t="n">
        <v>2.657</v>
      </c>
      <c r="L78" s="0" t="s">
        <v>319</v>
      </c>
    </row>
    <row r="79" customFormat="false" ht="15" hidden="false" customHeight="false" outlineLevel="0" collapsed="false">
      <c r="A79" s="0" t="s">
        <v>261</v>
      </c>
      <c r="B79" s="0" t="n">
        <v>2026</v>
      </c>
      <c r="C79" s="0" t="s">
        <v>320</v>
      </c>
      <c r="E79" s="0" t="n">
        <v>1.249</v>
      </c>
      <c r="G79" s="0" t="n">
        <v>1.249</v>
      </c>
      <c r="H79" s="0" t="n">
        <v>1.723</v>
      </c>
      <c r="I79" s="0" t="n">
        <v>9.202</v>
      </c>
      <c r="L79" s="0" t="s">
        <v>319</v>
      </c>
    </row>
    <row r="80" customFormat="false" ht="15" hidden="false" customHeight="false" outlineLevel="0" collapsed="false">
      <c r="A80" s="0" t="s">
        <v>263</v>
      </c>
      <c r="B80" s="0" t="n">
        <v>2026</v>
      </c>
      <c r="C80" s="0" t="n">
        <v>1</v>
      </c>
      <c r="D80" s="0" t="n">
        <v>0.445</v>
      </c>
      <c r="E80" s="0" t="n">
        <v>0.518</v>
      </c>
      <c r="F80" s="0" t="n">
        <v>0.608</v>
      </c>
      <c r="G80" s="0" t="n">
        <v>0.523</v>
      </c>
      <c r="H80" s="0" t="n">
        <v>1.091</v>
      </c>
      <c r="I80" s="0" t="n">
        <v>0.518</v>
      </c>
      <c r="J80" s="0" t="n">
        <v>0.096</v>
      </c>
      <c r="K80" s="0" t="n">
        <v>0.923</v>
      </c>
    </row>
    <row r="81" customFormat="false" ht="15" hidden="false" customHeight="false" outlineLevel="0" collapsed="false">
      <c r="A81" s="0" t="s">
        <v>263</v>
      </c>
      <c r="B81" s="0" t="n">
        <v>2026</v>
      </c>
      <c r="C81" s="0" t="n">
        <v>3</v>
      </c>
      <c r="D81" s="0" t="n">
        <v>0.458</v>
      </c>
      <c r="E81" s="0" t="n">
        <v>0.534</v>
      </c>
      <c r="F81" s="0" t="n">
        <v>0.626</v>
      </c>
      <c r="G81" s="0" t="n">
        <v>0.539</v>
      </c>
      <c r="H81" s="0" t="n">
        <v>1.035</v>
      </c>
      <c r="I81" s="0" t="n">
        <v>1.602</v>
      </c>
      <c r="J81" s="0" t="n">
        <v>0.315</v>
      </c>
      <c r="K81" s="0" t="n">
        <v>0.983</v>
      </c>
    </row>
    <row r="82" customFormat="false" ht="15" hidden="false" customHeight="false" outlineLevel="0" collapsed="false">
      <c r="A82" s="0" t="s">
        <v>263</v>
      </c>
      <c r="B82" s="0" t="n">
        <v>2026</v>
      </c>
      <c r="C82" s="0" t="n">
        <v>5</v>
      </c>
      <c r="D82" s="0" t="n">
        <v>0.472</v>
      </c>
      <c r="E82" s="0" t="n">
        <v>0.551</v>
      </c>
      <c r="F82" s="0" t="n">
        <v>0.645</v>
      </c>
      <c r="G82" s="0" t="n">
        <v>0.555</v>
      </c>
      <c r="H82" s="0" t="n">
        <v>1.037</v>
      </c>
      <c r="I82" s="0" t="n">
        <v>2.753</v>
      </c>
      <c r="J82" s="0" t="n">
        <v>0.311</v>
      </c>
      <c r="K82" s="0" t="n">
        <v>0.98</v>
      </c>
    </row>
    <row r="83" customFormat="false" ht="15" hidden="false" customHeight="false" outlineLevel="0" collapsed="false">
      <c r="A83" s="0" t="s">
        <v>263</v>
      </c>
      <c r="B83" s="0" t="n">
        <v>2026</v>
      </c>
      <c r="C83" s="0" t="n">
        <v>10</v>
      </c>
      <c r="D83" s="0" t="n">
        <v>0.503</v>
      </c>
      <c r="E83" s="0" t="n">
        <v>0.591</v>
      </c>
      <c r="F83" s="0" t="n">
        <v>0.693</v>
      </c>
      <c r="G83" s="0" t="n">
        <v>0.595</v>
      </c>
      <c r="H83" s="0" t="n">
        <v>1.067</v>
      </c>
      <c r="I83" s="0" t="n">
        <v>5.912</v>
      </c>
      <c r="J83" s="0" t="n">
        <v>0.199</v>
      </c>
      <c r="K83" s="0" t="n">
        <v>0.941</v>
      </c>
    </row>
    <row r="84" customFormat="false" ht="15" hidden="false" customHeight="false" outlineLevel="0" collapsed="false">
      <c r="A84" s="0" t="s">
        <v>263</v>
      </c>
      <c r="B84" s="0" t="n">
        <v>2026</v>
      </c>
      <c r="C84" s="0" t="s">
        <v>318</v>
      </c>
      <c r="E84" s="0" t="n">
        <v>0.56</v>
      </c>
      <c r="G84" s="0" t="n">
        <v>0.56</v>
      </c>
      <c r="H84" s="0" t="n">
        <v>1.056</v>
      </c>
      <c r="I84" s="0" t="n">
        <v>1.335</v>
      </c>
      <c r="L84" s="0" t="s">
        <v>319</v>
      </c>
    </row>
    <row r="85" customFormat="false" ht="15" hidden="false" customHeight="false" outlineLevel="0" collapsed="false">
      <c r="A85" s="0" t="s">
        <v>263</v>
      </c>
      <c r="B85" s="0" t="n">
        <v>2026</v>
      </c>
      <c r="C85" s="0" t="s">
        <v>320</v>
      </c>
      <c r="E85" s="0" t="n">
        <v>0.623</v>
      </c>
      <c r="G85" s="0" t="n">
        <v>0.623</v>
      </c>
      <c r="H85" s="0" t="n">
        <v>1.097</v>
      </c>
      <c r="I85" s="0" t="n">
        <v>4.613</v>
      </c>
      <c r="L85" s="0" t="s">
        <v>319</v>
      </c>
    </row>
    <row r="86" customFormat="false" ht="15" hidden="false" customHeight="false" outlineLevel="0" collapsed="false">
      <c r="A86" s="0" t="s">
        <v>265</v>
      </c>
      <c r="B86" s="0" t="n">
        <v>2026</v>
      </c>
      <c r="C86" s="0" t="n">
        <v>1</v>
      </c>
      <c r="D86" s="0" t="n">
        <v>0.333</v>
      </c>
      <c r="E86" s="0" t="n">
        <v>0.413</v>
      </c>
      <c r="F86" s="0" t="n">
        <v>0.508</v>
      </c>
      <c r="G86" s="0" t="n">
        <v>0.418</v>
      </c>
      <c r="H86" s="0" t="n">
        <v>0.986</v>
      </c>
      <c r="I86" s="0" t="n">
        <v>0.413</v>
      </c>
      <c r="J86" s="0" t="n">
        <v>0.57</v>
      </c>
      <c r="K86" s="0" t="n">
        <v>0.996</v>
      </c>
    </row>
    <row r="87" customFormat="false" ht="15" hidden="false" customHeight="false" outlineLevel="0" collapsed="false">
      <c r="A87" s="0" t="s">
        <v>265</v>
      </c>
      <c r="B87" s="0" t="n">
        <v>2026</v>
      </c>
      <c r="C87" s="0" t="n">
        <v>3</v>
      </c>
      <c r="D87" s="0" t="n">
        <v>0.356</v>
      </c>
      <c r="E87" s="0" t="n">
        <v>0.447</v>
      </c>
      <c r="F87" s="0" t="n">
        <v>0.552</v>
      </c>
      <c r="G87" s="0" t="n">
        <v>0.451</v>
      </c>
      <c r="H87" s="0" t="n">
        <v>0.947</v>
      </c>
      <c r="I87" s="0" t="n">
        <v>1.34</v>
      </c>
      <c r="J87" s="0" t="n">
        <v>0.728</v>
      </c>
      <c r="K87" s="0" t="n">
        <v>0.998</v>
      </c>
    </row>
    <row r="88" customFormat="false" ht="15" hidden="false" customHeight="false" outlineLevel="0" collapsed="false">
      <c r="A88" s="0" t="s">
        <v>265</v>
      </c>
      <c r="B88" s="0" t="n">
        <v>2026</v>
      </c>
      <c r="C88" s="0" t="n">
        <v>5</v>
      </c>
      <c r="D88" s="0" t="n">
        <v>0.378</v>
      </c>
      <c r="E88" s="0" t="n">
        <v>0.48</v>
      </c>
      <c r="F88" s="0" t="n">
        <v>0.598</v>
      </c>
      <c r="G88" s="0" t="n">
        <v>0.485</v>
      </c>
      <c r="H88" s="0" t="n">
        <v>0.966</v>
      </c>
      <c r="I88" s="0" t="n">
        <v>2.402</v>
      </c>
      <c r="J88" s="0" t="n">
        <v>0.643</v>
      </c>
      <c r="K88" s="0" t="n">
        <v>0.992</v>
      </c>
    </row>
    <row r="89" customFormat="false" ht="15" hidden="false" customHeight="false" outlineLevel="0" collapsed="false">
      <c r="A89" s="0" t="s">
        <v>265</v>
      </c>
      <c r="B89" s="0" t="n">
        <v>2026</v>
      </c>
      <c r="C89" s="0" t="n">
        <v>10</v>
      </c>
      <c r="D89" s="0" t="n">
        <v>0.432</v>
      </c>
      <c r="E89" s="0" t="n">
        <v>0.562</v>
      </c>
      <c r="F89" s="0" t="n">
        <v>0.716</v>
      </c>
      <c r="G89" s="0" t="n">
        <v>0.569</v>
      </c>
      <c r="H89" s="0" t="n">
        <v>1.037</v>
      </c>
      <c r="I89" s="0" t="n">
        <v>5.62</v>
      </c>
      <c r="J89" s="0" t="n">
        <v>0.375</v>
      </c>
      <c r="K89" s="0" t="n">
        <v>0.908</v>
      </c>
    </row>
    <row r="90" customFormat="false" ht="15" hidden="false" customHeight="false" outlineLevel="0" collapsed="false">
      <c r="A90" s="0" t="s">
        <v>265</v>
      </c>
      <c r="B90" s="0" t="n">
        <v>2026</v>
      </c>
      <c r="C90" s="0" t="s">
        <v>318</v>
      </c>
      <c r="E90" s="0" t="n">
        <v>0.495</v>
      </c>
      <c r="G90" s="0" t="n">
        <v>0.495</v>
      </c>
      <c r="H90" s="0" t="n">
        <v>0.991</v>
      </c>
      <c r="I90" s="0" t="n">
        <v>1.102</v>
      </c>
      <c r="L90" s="0" t="s">
        <v>319</v>
      </c>
    </row>
    <row r="91" customFormat="false" ht="15" hidden="false" customHeight="false" outlineLevel="0" collapsed="false">
      <c r="A91" s="0" t="s">
        <v>265</v>
      </c>
      <c r="B91" s="0" t="n">
        <v>2026</v>
      </c>
      <c r="C91" s="0" t="s">
        <v>320</v>
      </c>
      <c r="E91" s="0" t="n">
        <v>0.626</v>
      </c>
      <c r="G91" s="0" t="n">
        <v>0.626</v>
      </c>
      <c r="H91" s="0" t="n">
        <v>1.101</v>
      </c>
      <c r="I91" s="0" t="n">
        <v>4.225</v>
      </c>
      <c r="L91" s="0" t="s">
        <v>319</v>
      </c>
    </row>
    <row r="92" customFormat="false" ht="15" hidden="false" customHeight="false" outlineLevel="0" collapsed="false">
      <c r="A92" s="0" t="s">
        <v>321</v>
      </c>
      <c r="B92" s="0" t="n">
        <v>2026</v>
      </c>
      <c r="C92" s="0" t="n">
        <v>1</v>
      </c>
      <c r="D92" s="0" t="n">
        <v>1.895</v>
      </c>
      <c r="E92" s="0" t="n">
        <v>2.396</v>
      </c>
      <c r="F92" s="0" t="n">
        <v>2.962</v>
      </c>
      <c r="G92" s="0" t="n">
        <v>2.412</v>
      </c>
      <c r="H92" s="0" t="n">
        <v>2.967</v>
      </c>
      <c r="I92" s="0" t="n">
        <v>2.396</v>
      </c>
      <c r="J92" s="0" t="n">
        <v>0</v>
      </c>
      <c r="K92" s="0" t="n">
        <v>0</v>
      </c>
    </row>
    <row r="93" customFormat="false" ht="15" hidden="false" customHeight="false" outlineLevel="0" collapsed="false">
      <c r="A93" s="0" t="s">
        <v>321</v>
      </c>
      <c r="B93" s="0" t="n">
        <v>2026</v>
      </c>
      <c r="C93" s="0" t="n">
        <v>3</v>
      </c>
      <c r="D93" s="0" t="n">
        <v>3.218</v>
      </c>
      <c r="E93" s="0" t="n">
        <v>4.154</v>
      </c>
      <c r="F93" s="0" t="n">
        <v>5.239</v>
      </c>
      <c r="G93" s="0" t="n">
        <v>4.202</v>
      </c>
      <c r="H93" s="0" t="n">
        <v>4.652</v>
      </c>
      <c r="I93" s="0" t="n">
        <v>12.463</v>
      </c>
      <c r="J93" s="0" t="n">
        <v>0</v>
      </c>
      <c r="K93" s="0" t="n">
        <v>0</v>
      </c>
    </row>
    <row r="94" customFormat="false" ht="15" hidden="false" customHeight="false" outlineLevel="0" collapsed="false">
      <c r="A94" s="0" t="s">
        <v>321</v>
      </c>
      <c r="B94" s="0" t="n">
        <v>2026</v>
      </c>
      <c r="C94" s="0" t="n">
        <v>5</v>
      </c>
      <c r="D94" s="0" t="n">
        <v>4.523</v>
      </c>
      <c r="E94" s="0" t="n">
        <v>5.922</v>
      </c>
      <c r="F94" s="0" t="n">
        <v>7.551</v>
      </c>
      <c r="G94" s="0" t="n">
        <v>5.99</v>
      </c>
      <c r="H94" s="0" t="n">
        <v>6.406</v>
      </c>
      <c r="I94" s="0" t="n">
        <v>29.611</v>
      </c>
      <c r="J94" s="0" t="n">
        <v>0</v>
      </c>
      <c r="K94" s="0" t="n">
        <v>0</v>
      </c>
    </row>
    <row r="95" customFormat="false" ht="15" hidden="false" customHeight="false" outlineLevel="0" collapsed="false">
      <c r="A95" s="0" t="s">
        <v>321</v>
      </c>
      <c r="B95" s="0" t="n">
        <v>2026</v>
      </c>
      <c r="C95" s="0" t="n">
        <v>10</v>
      </c>
      <c r="D95" s="0" t="n">
        <v>7.762</v>
      </c>
      <c r="E95" s="0" t="n">
        <v>10.335</v>
      </c>
      <c r="F95" s="0" t="n">
        <v>13.362</v>
      </c>
      <c r="G95" s="0" t="n">
        <v>10.464</v>
      </c>
      <c r="H95" s="0" t="n">
        <v>10.805</v>
      </c>
      <c r="I95" s="0" t="n">
        <v>103.346</v>
      </c>
      <c r="J95" s="0" t="n">
        <v>0</v>
      </c>
      <c r="K95" s="0" t="n">
        <v>0</v>
      </c>
    </row>
    <row r="96" customFormat="false" ht="15" hidden="false" customHeight="false" outlineLevel="0" collapsed="false">
      <c r="A96" s="0" t="s">
        <v>321</v>
      </c>
      <c r="B96" s="0" t="n">
        <v>2026</v>
      </c>
      <c r="C96" s="0" t="s">
        <v>318</v>
      </c>
      <c r="E96" s="0" t="n">
        <v>6.514</v>
      </c>
      <c r="G96" s="0" t="n">
        <v>6.514</v>
      </c>
      <c r="H96" s="0" t="n">
        <v>7.01</v>
      </c>
      <c r="I96" s="0" t="n">
        <v>9.349</v>
      </c>
      <c r="L96" s="0" t="s">
        <v>319</v>
      </c>
    </row>
    <row r="97" customFormat="false" ht="15" hidden="false" customHeight="false" outlineLevel="0" collapsed="false">
      <c r="A97" s="0" t="s">
        <v>321</v>
      </c>
      <c r="B97" s="0" t="n">
        <v>2026</v>
      </c>
      <c r="C97" s="0" t="s">
        <v>320</v>
      </c>
      <c r="E97" s="0" t="n">
        <v>13.548</v>
      </c>
      <c r="G97" s="0" t="n">
        <v>13.548</v>
      </c>
      <c r="H97" s="0" t="n">
        <v>14.022</v>
      </c>
      <c r="I97" s="0" t="n">
        <v>68.232</v>
      </c>
      <c r="L97" s="0" t="s">
        <v>319</v>
      </c>
    </row>
    <row r="98" customFormat="false" ht="15" hidden="false" customHeight="false" outlineLevel="0" collapsed="false">
      <c r="A98" s="0" t="s">
        <v>322</v>
      </c>
      <c r="B98" s="0" t="n">
        <v>2026</v>
      </c>
      <c r="C98" s="0" t="n">
        <v>1</v>
      </c>
      <c r="D98" s="0" t="n">
        <v>2.731</v>
      </c>
      <c r="E98" s="0" t="n">
        <v>3.427</v>
      </c>
      <c r="F98" s="0" t="n">
        <v>4.193</v>
      </c>
      <c r="G98" s="0" t="n">
        <v>3.449</v>
      </c>
      <c r="H98" s="0" t="n">
        <v>3.999</v>
      </c>
      <c r="I98" s="0" t="n">
        <v>3.427</v>
      </c>
      <c r="J98" s="0" t="n">
        <v>0</v>
      </c>
      <c r="K98" s="0" t="n">
        <v>0</v>
      </c>
    </row>
    <row r="99" customFormat="false" ht="15" hidden="false" customHeight="false" outlineLevel="0" collapsed="false">
      <c r="A99" s="0" t="s">
        <v>322</v>
      </c>
      <c r="B99" s="0" t="n">
        <v>2026</v>
      </c>
      <c r="C99" s="0" t="n">
        <v>3</v>
      </c>
      <c r="D99" s="0" t="n">
        <v>4.608</v>
      </c>
      <c r="E99" s="0" t="n">
        <v>5.901</v>
      </c>
      <c r="F99" s="0" t="n">
        <v>7.402</v>
      </c>
      <c r="G99" s="0" t="n">
        <v>5.965</v>
      </c>
      <c r="H99" s="0" t="n">
        <v>6.399</v>
      </c>
      <c r="I99" s="0" t="n">
        <v>17.703</v>
      </c>
      <c r="J99" s="0" t="n">
        <v>0</v>
      </c>
      <c r="K99" s="0" t="n">
        <v>0</v>
      </c>
    </row>
    <row r="100" customFormat="false" ht="15" hidden="false" customHeight="false" outlineLevel="0" collapsed="false">
      <c r="A100" s="0" t="s">
        <v>322</v>
      </c>
      <c r="B100" s="0" t="n">
        <v>2026</v>
      </c>
      <c r="C100" s="0" t="n">
        <v>5</v>
      </c>
      <c r="D100" s="0" t="n">
        <v>6.445</v>
      </c>
      <c r="E100" s="0" t="n">
        <v>8.376</v>
      </c>
      <c r="F100" s="0" t="n">
        <v>10.659</v>
      </c>
      <c r="G100" s="0" t="n">
        <v>8.482</v>
      </c>
      <c r="H100" s="0" t="n">
        <v>8.865</v>
      </c>
      <c r="I100" s="0" t="n">
        <v>41.881</v>
      </c>
      <c r="J100" s="0" t="n">
        <v>0</v>
      </c>
      <c r="K100" s="0" t="n">
        <v>0</v>
      </c>
    </row>
    <row r="101" customFormat="false" ht="15" hidden="false" customHeight="false" outlineLevel="0" collapsed="false">
      <c r="A101" s="0" t="s">
        <v>322</v>
      </c>
      <c r="B101" s="0" t="n">
        <v>2026</v>
      </c>
      <c r="C101" s="0" t="n">
        <v>10</v>
      </c>
      <c r="D101" s="0" t="n">
        <v>11.037</v>
      </c>
      <c r="E101" s="0" t="n">
        <v>14.574</v>
      </c>
      <c r="F101" s="0" t="n">
        <v>18.808</v>
      </c>
      <c r="G101" s="0" t="n">
        <v>14.779</v>
      </c>
      <c r="H101" s="0" t="n">
        <v>15.048</v>
      </c>
      <c r="I101" s="0" t="n">
        <v>145.738</v>
      </c>
      <c r="J101" s="0" t="n">
        <v>0</v>
      </c>
      <c r="K101" s="0" t="n">
        <v>0</v>
      </c>
    </row>
    <row r="102" customFormat="false" ht="15" hidden="false" customHeight="false" outlineLevel="0" collapsed="false">
      <c r="A102" s="0" t="s">
        <v>322</v>
      </c>
      <c r="B102" s="0" t="n">
        <v>2026</v>
      </c>
      <c r="C102" s="0" t="s">
        <v>318</v>
      </c>
      <c r="E102" s="0" t="n">
        <v>9.225</v>
      </c>
      <c r="G102" s="0" t="n">
        <v>9.225</v>
      </c>
      <c r="H102" s="0" t="n">
        <v>9.721</v>
      </c>
      <c r="I102" s="0" t="n">
        <v>13.349</v>
      </c>
      <c r="L102" s="0" t="s">
        <v>319</v>
      </c>
    </row>
    <row r="103" customFormat="false" ht="15" hidden="false" customHeight="false" outlineLevel="0" collapsed="false">
      <c r="A103" s="0" t="s">
        <v>322</v>
      </c>
      <c r="B103" s="0" t="n">
        <v>2026</v>
      </c>
      <c r="C103" s="0" t="s">
        <v>320</v>
      </c>
      <c r="E103" s="0" t="n">
        <v>19.129</v>
      </c>
      <c r="G103" s="0" t="n">
        <v>19.129</v>
      </c>
      <c r="H103" s="0" t="n">
        <v>19.603</v>
      </c>
      <c r="I103" s="0" t="n">
        <v>96.319</v>
      </c>
      <c r="L103" s="0" t="s">
        <v>319</v>
      </c>
    </row>
    <row r="104" customFormat="false" ht="15" hidden="false" customHeight="false" outlineLevel="0" collapsed="false">
      <c r="A104" s="0" t="s">
        <v>323</v>
      </c>
      <c r="B104" s="0" t="n">
        <v>2026</v>
      </c>
      <c r="C104" s="0" t="n">
        <v>1</v>
      </c>
      <c r="D104" s="0" t="n">
        <v>2.731</v>
      </c>
      <c r="E104" s="0" t="n">
        <v>3.427</v>
      </c>
      <c r="F104" s="0" t="n">
        <v>4.193</v>
      </c>
      <c r="G104" s="0" t="n">
        <v>3.449</v>
      </c>
      <c r="H104" s="0" t="n">
        <v>3.999</v>
      </c>
      <c r="I104" s="0" t="n">
        <v>3.427</v>
      </c>
      <c r="J104" s="0" t="n">
        <v>0</v>
      </c>
      <c r="K104" s="0" t="n">
        <v>0</v>
      </c>
    </row>
    <row r="105" customFormat="false" ht="15" hidden="false" customHeight="false" outlineLevel="0" collapsed="false">
      <c r="A105" s="0" t="s">
        <v>323</v>
      </c>
      <c r="B105" s="0" t="n">
        <v>2026</v>
      </c>
      <c r="C105" s="0" t="n">
        <v>3</v>
      </c>
      <c r="D105" s="0" t="n">
        <v>4.608</v>
      </c>
      <c r="E105" s="0" t="n">
        <v>5.901</v>
      </c>
      <c r="F105" s="0" t="n">
        <v>7.402</v>
      </c>
      <c r="G105" s="0" t="n">
        <v>5.965</v>
      </c>
      <c r="H105" s="0" t="n">
        <v>6.399</v>
      </c>
      <c r="I105" s="0" t="n">
        <v>17.703</v>
      </c>
      <c r="J105" s="0" t="n">
        <v>0</v>
      </c>
      <c r="K105" s="0" t="n">
        <v>0</v>
      </c>
    </row>
    <row r="106" customFormat="false" ht="15" hidden="false" customHeight="false" outlineLevel="0" collapsed="false">
      <c r="A106" s="0" t="s">
        <v>323</v>
      </c>
      <c r="B106" s="0" t="n">
        <v>2026</v>
      </c>
      <c r="C106" s="0" t="n">
        <v>5</v>
      </c>
      <c r="D106" s="0" t="n">
        <v>6.353</v>
      </c>
      <c r="E106" s="0" t="n">
        <v>8.194</v>
      </c>
      <c r="F106" s="0" t="n">
        <v>10.31</v>
      </c>
      <c r="G106" s="0" t="n">
        <v>8.281</v>
      </c>
      <c r="H106" s="0" t="n">
        <v>8.68</v>
      </c>
      <c r="I106" s="0" t="n">
        <v>40.97</v>
      </c>
      <c r="J106" s="0" t="n">
        <v>0</v>
      </c>
      <c r="K106" s="0" t="n">
        <v>0</v>
      </c>
    </row>
    <row r="107" customFormat="false" ht="15" hidden="false" customHeight="false" outlineLevel="0" collapsed="false">
      <c r="A107" s="0" t="s">
        <v>323</v>
      </c>
      <c r="B107" s="0" t="n">
        <v>2026</v>
      </c>
      <c r="C107" s="0" t="n">
        <v>10</v>
      </c>
      <c r="D107" s="0" t="n">
        <v>7.74</v>
      </c>
      <c r="E107" s="0" t="n">
        <v>9.893</v>
      </c>
      <c r="F107" s="0" t="n">
        <v>12.313</v>
      </c>
      <c r="G107" s="0" t="n">
        <v>9.975</v>
      </c>
      <c r="H107" s="0" t="n">
        <v>10.365</v>
      </c>
      <c r="I107" s="0" t="n">
        <v>98.928</v>
      </c>
      <c r="J107" s="0" t="n">
        <v>0</v>
      </c>
      <c r="K107" s="0" t="n">
        <v>0</v>
      </c>
    </row>
    <row r="108" customFormat="false" ht="15" hidden="false" customHeight="false" outlineLevel="0" collapsed="false">
      <c r="A108" s="0" t="s">
        <v>323</v>
      </c>
      <c r="B108" s="0" t="n">
        <v>2026</v>
      </c>
      <c r="C108" s="0" t="s">
        <v>318</v>
      </c>
      <c r="E108" s="0" t="n">
        <v>7.412</v>
      </c>
      <c r="G108" s="0" t="n">
        <v>7.412</v>
      </c>
      <c r="H108" s="0" t="n">
        <v>7.908</v>
      </c>
      <c r="I108" s="0" t="n">
        <v>13.349</v>
      </c>
      <c r="L108" s="0" t="s">
        <v>319</v>
      </c>
    </row>
    <row r="109" customFormat="false" ht="15" hidden="false" customHeight="false" outlineLevel="0" collapsed="false">
      <c r="A109" s="0" t="s">
        <v>323</v>
      </c>
      <c r="B109" s="0" t="n">
        <v>2026</v>
      </c>
      <c r="C109" s="0" t="s">
        <v>320</v>
      </c>
      <c r="E109" s="0" t="n">
        <v>9.89</v>
      </c>
      <c r="G109" s="0" t="n">
        <v>9.89</v>
      </c>
      <c r="H109" s="0" t="n">
        <v>10.364</v>
      </c>
      <c r="I109" s="0" t="n">
        <v>75.089</v>
      </c>
      <c r="L109" s="0" t="s">
        <v>319</v>
      </c>
    </row>
    <row r="110" customFormat="false" ht="15" hidden="false" customHeight="false" outlineLevel="0" collapsed="false">
      <c r="A110" s="0" t="s">
        <v>324</v>
      </c>
      <c r="B110" s="0" t="n">
        <v>2026</v>
      </c>
      <c r="C110" s="0" t="n">
        <v>1</v>
      </c>
      <c r="D110" s="0" t="n">
        <v>1.656</v>
      </c>
      <c r="E110" s="0" t="n">
        <v>2.003</v>
      </c>
      <c r="F110" s="0" t="n">
        <v>2.497</v>
      </c>
      <c r="G110" s="0" t="n">
        <v>2.043</v>
      </c>
      <c r="H110" s="0" t="n">
        <v>2.576</v>
      </c>
      <c r="I110" s="0" t="n">
        <v>2.003</v>
      </c>
      <c r="J110" s="0" t="n">
        <v>0</v>
      </c>
      <c r="K110" s="0" t="n">
        <v>0</v>
      </c>
    </row>
    <row r="111" customFormat="false" ht="15" hidden="false" customHeight="false" outlineLevel="0" collapsed="false">
      <c r="A111" s="0" t="s">
        <v>324</v>
      </c>
      <c r="B111" s="0" t="n">
        <v>2026</v>
      </c>
      <c r="C111" s="0" t="n">
        <v>3</v>
      </c>
      <c r="D111" s="0" t="n">
        <v>1.748</v>
      </c>
      <c r="E111" s="0" t="n">
        <v>2.113</v>
      </c>
      <c r="F111" s="0" t="n">
        <v>2.635</v>
      </c>
      <c r="G111" s="0" t="n">
        <v>2.156</v>
      </c>
      <c r="H111" s="0" t="n">
        <v>2.615</v>
      </c>
      <c r="I111" s="0" t="n">
        <v>6.34</v>
      </c>
      <c r="J111" s="0" t="n">
        <v>0</v>
      </c>
      <c r="K111" s="0" t="n">
        <v>0</v>
      </c>
    </row>
    <row r="112" customFormat="false" ht="15" hidden="false" customHeight="false" outlineLevel="0" collapsed="false">
      <c r="A112" s="0" t="s">
        <v>324</v>
      </c>
      <c r="B112" s="0" t="n">
        <v>2026</v>
      </c>
      <c r="C112" s="0" t="n">
        <v>5</v>
      </c>
      <c r="D112" s="0" t="n">
        <v>1.846</v>
      </c>
      <c r="E112" s="0" t="n">
        <v>2.233</v>
      </c>
      <c r="F112" s="0" t="n">
        <v>2.784</v>
      </c>
      <c r="G112" s="0" t="n">
        <v>2.278</v>
      </c>
      <c r="H112" s="0" t="n">
        <v>2.719</v>
      </c>
      <c r="I112" s="0" t="n">
        <v>11.164</v>
      </c>
      <c r="J112" s="0" t="n">
        <v>0</v>
      </c>
      <c r="K112" s="0" t="n">
        <v>0</v>
      </c>
    </row>
    <row r="113" customFormat="false" ht="15" hidden="false" customHeight="false" outlineLevel="0" collapsed="false">
      <c r="A113" s="0" t="s">
        <v>324</v>
      </c>
      <c r="B113" s="0" t="n">
        <v>2026</v>
      </c>
      <c r="C113" s="0" t="n">
        <v>10</v>
      </c>
      <c r="D113" s="0" t="n">
        <v>2.095</v>
      </c>
      <c r="E113" s="0" t="n">
        <v>2.534</v>
      </c>
      <c r="F113" s="0" t="n">
        <v>3.159</v>
      </c>
      <c r="G113" s="0" t="n">
        <v>2.585</v>
      </c>
      <c r="H113" s="0" t="n">
        <v>3.009</v>
      </c>
      <c r="I113" s="0" t="n">
        <v>25.336</v>
      </c>
      <c r="J113" s="0" t="n">
        <v>0</v>
      </c>
      <c r="K113" s="0" t="n">
        <v>0</v>
      </c>
    </row>
    <row r="114" customFormat="false" ht="15" hidden="false" customHeight="false" outlineLevel="0" collapsed="false">
      <c r="A114" s="0" t="s">
        <v>324</v>
      </c>
      <c r="B114" s="0" t="n">
        <v>2026</v>
      </c>
      <c r="C114" s="0" t="s">
        <v>318</v>
      </c>
      <c r="E114" s="0" t="n">
        <v>2.287</v>
      </c>
      <c r="G114" s="0" t="n">
        <v>2.287</v>
      </c>
      <c r="H114" s="0" t="n">
        <v>2.782</v>
      </c>
      <c r="I114" s="0" t="n">
        <v>5.281</v>
      </c>
      <c r="L114" s="0" t="s">
        <v>319</v>
      </c>
    </row>
    <row r="115" customFormat="false" ht="15" hidden="false" customHeight="false" outlineLevel="0" collapsed="false">
      <c r="A115" s="0" t="s">
        <v>324</v>
      </c>
      <c r="B115" s="0" t="n">
        <v>2026</v>
      </c>
      <c r="C115" s="0" t="s">
        <v>320</v>
      </c>
      <c r="E115" s="0" t="n">
        <v>2.504</v>
      </c>
      <c r="G115" s="0" t="n">
        <v>2.504</v>
      </c>
      <c r="H115" s="0" t="n">
        <v>2.979</v>
      </c>
      <c r="I115" s="0" t="n">
        <v>19.526</v>
      </c>
      <c r="L115" s="0" t="s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325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</row>
    <row r="2" customFormat="false" ht="15" hidden="false" customHeight="false" outlineLevel="0" collapsed="false">
      <c r="A2" s="0" t="n">
        <v>25000</v>
      </c>
      <c r="B2" s="0" t="n">
        <v>0.941</v>
      </c>
      <c r="C2" s="0" t="n">
        <v>0.954</v>
      </c>
      <c r="D2" s="0" t="n">
        <v>1.323</v>
      </c>
      <c r="E2" s="0" t="n">
        <v>0.872</v>
      </c>
      <c r="F2" s="0" t="n">
        <v>25.245</v>
      </c>
    </row>
    <row r="3" customFormat="false" ht="15" hidden="false" customHeight="false" outlineLevel="0" collapsed="false">
      <c r="A3" s="0" t="n">
        <v>50000</v>
      </c>
      <c r="B3" s="0" t="n">
        <v>0.941</v>
      </c>
      <c r="C3" s="0" t="n">
        <v>0.954</v>
      </c>
      <c r="D3" s="0" t="n">
        <v>1.323</v>
      </c>
      <c r="E3" s="0" t="n">
        <v>0.872</v>
      </c>
      <c r="F3" s="0" t="n">
        <v>12.745</v>
      </c>
    </row>
    <row r="4" customFormat="false" ht="15" hidden="false" customHeight="false" outlineLevel="0" collapsed="false">
      <c r="A4" s="0" t="n">
        <v>100000</v>
      </c>
      <c r="B4" s="0" t="n">
        <v>0.941</v>
      </c>
      <c r="C4" s="0" t="n">
        <v>0.954</v>
      </c>
      <c r="D4" s="0" t="n">
        <v>1.323</v>
      </c>
      <c r="E4" s="0" t="n">
        <v>0.872</v>
      </c>
      <c r="F4" s="0" t="n">
        <v>6.496</v>
      </c>
    </row>
    <row r="5" customFormat="false" ht="15" hidden="false" customHeight="false" outlineLevel="0" collapsed="false">
      <c r="A5" s="0" t="n">
        <v>250000</v>
      </c>
      <c r="B5" s="0" t="n">
        <v>0.941</v>
      </c>
      <c r="C5" s="0" t="n">
        <v>0.954</v>
      </c>
      <c r="D5" s="0" t="n">
        <v>1.18</v>
      </c>
      <c r="E5" s="0" t="n">
        <v>0.57</v>
      </c>
      <c r="F5" s="0" t="n">
        <v>2.746</v>
      </c>
    </row>
    <row r="6" customFormat="false" ht="15" hidden="false" customHeight="false" outlineLevel="0" collapsed="false">
      <c r="A6" s="0" t="n">
        <v>500000</v>
      </c>
      <c r="B6" s="0" t="n">
        <v>0.941</v>
      </c>
      <c r="C6" s="0" t="n">
        <v>0.954</v>
      </c>
      <c r="D6" s="0" t="n">
        <v>1.173</v>
      </c>
      <c r="E6" s="0" t="n">
        <v>0.525</v>
      </c>
      <c r="F6" s="0" t="n">
        <v>1.496</v>
      </c>
    </row>
    <row r="7" customFormat="false" ht="15" hidden="false" customHeight="false" outlineLevel="0" collapsed="false">
      <c r="A7" s="0" t="n">
        <v>1000000</v>
      </c>
      <c r="B7" s="0" t="n">
        <v>0.941</v>
      </c>
      <c r="C7" s="0" t="n">
        <v>0.954</v>
      </c>
      <c r="D7" s="0" t="n">
        <v>1.173</v>
      </c>
      <c r="E7" s="0" t="n">
        <v>0.525</v>
      </c>
      <c r="F7" s="0" t="n">
        <v>0.871</v>
      </c>
    </row>
    <row r="8" customFormat="false" ht="15" hidden="false" customHeight="false" outlineLevel="0" collapsed="false">
      <c r="A8" s="0" t="n">
        <v>2500000</v>
      </c>
      <c r="B8" s="0" t="n">
        <v>0.941</v>
      </c>
      <c r="C8" s="0" t="n">
        <v>0.834</v>
      </c>
      <c r="D8" s="0" t="n">
        <v>0.94</v>
      </c>
      <c r="E8" s="0" t="n">
        <v>0.525</v>
      </c>
      <c r="F8" s="0" t="n">
        <v>0.514</v>
      </c>
    </row>
    <row r="9" customFormat="false" ht="15" hidden="false" customHeight="false" outlineLevel="0" collapsed="false">
      <c r="A9" s="0" t="n">
        <v>5000000</v>
      </c>
      <c r="B9" s="0" t="n">
        <v>0.941</v>
      </c>
      <c r="C9" s="0" t="n">
        <v>0.834</v>
      </c>
      <c r="D9" s="0" t="n">
        <v>0.927</v>
      </c>
      <c r="E9" s="0" t="n">
        <v>0.525</v>
      </c>
      <c r="F9" s="0" t="n">
        <v>0.432</v>
      </c>
    </row>
    <row r="10" customFormat="false" ht="15" hidden="false" customHeight="false" outlineLevel="0" collapsed="false">
      <c r="A10" s="0" t="n">
        <v>10000000</v>
      </c>
      <c r="B10" s="0" t="n">
        <v>0.941</v>
      </c>
      <c r="C10" s="0" t="n">
        <v>0.782</v>
      </c>
      <c r="D10" s="0" t="n">
        <v>0.776</v>
      </c>
      <c r="E10" s="0" t="n">
        <v>0.525</v>
      </c>
      <c r="F10" s="0" t="n">
        <v>0.432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277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</row>
    <row r="2" customFormat="false" ht="15" hidden="false" customHeight="false" outlineLevel="0" collapsed="false">
      <c r="A2" s="0" t="s">
        <v>249</v>
      </c>
      <c r="B2" s="0" t="s">
        <v>337</v>
      </c>
      <c r="C2" s="0" t="n">
        <v>3</v>
      </c>
      <c r="D2" s="0" t="n">
        <v>7</v>
      </c>
      <c r="E2" s="0" t="n">
        <v>0.785</v>
      </c>
      <c r="F2" s="0" t="n">
        <v>1.107</v>
      </c>
      <c r="G2" s="0" t="n">
        <v>0.941</v>
      </c>
    </row>
    <row r="3" customFormat="false" ht="15" hidden="false" customHeight="false" outlineLevel="0" collapsed="false">
      <c r="A3" s="0" t="s">
        <v>251</v>
      </c>
      <c r="B3" s="0" t="s">
        <v>337</v>
      </c>
      <c r="C3" s="0" t="n">
        <v>3</v>
      </c>
      <c r="D3" s="0" t="n">
        <v>7</v>
      </c>
      <c r="E3" s="0" t="n">
        <v>1.316</v>
      </c>
      <c r="F3" s="0" t="n">
        <v>1.638</v>
      </c>
      <c r="G3" s="0" t="n">
        <v>1.473</v>
      </c>
    </row>
    <row r="4" customFormat="false" ht="15" hidden="false" customHeight="false" outlineLevel="0" collapsed="false">
      <c r="A4" s="0" t="s">
        <v>237</v>
      </c>
      <c r="B4" s="0" t="s">
        <v>337</v>
      </c>
      <c r="C4" s="0" t="n">
        <v>3</v>
      </c>
      <c r="D4" s="0" t="n">
        <v>7</v>
      </c>
      <c r="E4" s="0" t="n">
        <v>2.072</v>
      </c>
      <c r="F4" s="0" t="n">
        <v>2.316</v>
      </c>
      <c r="G4" s="0" t="n">
        <v>2.187</v>
      </c>
    </row>
    <row r="5" customFormat="false" ht="15" hidden="false" customHeight="false" outlineLevel="0" collapsed="false">
      <c r="A5" s="0" t="s">
        <v>322</v>
      </c>
      <c r="B5" s="0" t="s">
        <v>337</v>
      </c>
      <c r="C5" s="0" t="n">
        <v>3</v>
      </c>
      <c r="D5" s="0" t="n">
        <v>7</v>
      </c>
      <c r="E5" s="0" t="n">
        <v>3.561</v>
      </c>
      <c r="F5" s="0" t="n">
        <v>7.41</v>
      </c>
      <c r="G5" s="0" t="n">
        <v>5.713</v>
      </c>
    </row>
    <row r="6" customFormat="false" ht="15" hidden="false" customHeight="false" outlineLevel="0" collapsed="false">
      <c r="A6" s="0" t="s">
        <v>249</v>
      </c>
      <c r="B6" s="0" t="s">
        <v>30</v>
      </c>
      <c r="C6" s="0" t="n">
        <v>15</v>
      </c>
      <c r="D6" s="0" t="n">
        <v>40</v>
      </c>
      <c r="E6" s="0" t="n">
        <v>0.817</v>
      </c>
      <c r="F6" s="0" t="n">
        <v>1.162</v>
      </c>
      <c r="G6" s="0" t="n">
        <v>0.941</v>
      </c>
    </row>
    <row r="7" customFormat="false" ht="15" hidden="false" customHeight="false" outlineLevel="0" collapsed="false">
      <c r="A7" s="0" t="s">
        <v>251</v>
      </c>
      <c r="B7" s="0" t="s">
        <v>30</v>
      </c>
      <c r="C7" s="0" t="n">
        <v>15</v>
      </c>
      <c r="D7" s="0" t="n">
        <v>40</v>
      </c>
      <c r="E7" s="0" t="n">
        <v>1.15</v>
      </c>
      <c r="F7" s="0" t="n">
        <v>2.047</v>
      </c>
      <c r="G7" s="0" t="n">
        <v>1.473</v>
      </c>
    </row>
    <row r="8" customFormat="false" ht="15" hidden="false" customHeight="false" outlineLevel="0" collapsed="false">
      <c r="A8" s="0" t="s">
        <v>237</v>
      </c>
      <c r="B8" s="0" t="s">
        <v>30</v>
      </c>
      <c r="C8" s="0" t="n">
        <v>15</v>
      </c>
      <c r="D8" s="0" t="n">
        <v>40</v>
      </c>
      <c r="E8" s="0" t="n">
        <v>2.059</v>
      </c>
      <c r="F8" s="0" t="n">
        <v>2.416</v>
      </c>
      <c r="G8" s="0" t="n">
        <v>2.187</v>
      </c>
    </row>
    <row r="9" customFormat="false" ht="15" hidden="false" customHeight="false" outlineLevel="0" collapsed="false">
      <c r="A9" s="0" t="s">
        <v>322</v>
      </c>
      <c r="B9" s="0" t="s">
        <v>30</v>
      </c>
      <c r="C9" s="0" t="n">
        <v>15</v>
      </c>
      <c r="D9" s="0" t="n">
        <v>40</v>
      </c>
      <c r="E9" s="0" t="n">
        <v>4.756</v>
      </c>
      <c r="F9" s="0" t="n">
        <v>7.416</v>
      </c>
      <c r="G9" s="0" t="n">
        <v>5.713</v>
      </c>
    </row>
    <row r="10" customFormat="false" ht="15" hidden="false" customHeight="false" outlineLevel="0" collapsed="false">
      <c r="A10" s="0" t="s">
        <v>249</v>
      </c>
      <c r="B10" s="0" t="s">
        <v>34</v>
      </c>
      <c r="C10" s="0" t="n">
        <v>12</v>
      </c>
      <c r="D10" s="0" t="n">
        <v>32</v>
      </c>
      <c r="E10" s="0" t="n">
        <v>0.823</v>
      </c>
      <c r="F10" s="0" t="n">
        <v>1.02</v>
      </c>
      <c r="G10" s="0" t="n">
        <v>0.941</v>
      </c>
    </row>
    <row r="11" customFormat="false" ht="15" hidden="false" customHeight="false" outlineLevel="0" collapsed="false">
      <c r="A11" s="0" t="s">
        <v>251</v>
      </c>
      <c r="B11" s="0" t="s">
        <v>34</v>
      </c>
      <c r="C11" s="0" t="n">
        <v>12</v>
      </c>
      <c r="D11" s="0" t="n">
        <v>32</v>
      </c>
      <c r="E11" s="0" t="n">
        <v>1.354</v>
      </c>
      <c r="F11" s="0" t="n">
        <v>1.552</v>
      </c>
      <c r="G11" s="0" t="n">
        <v>1.473</v>
      </c>
    </row>
    <row r="12" customFormat="false" ht="15" hidden="false" customHeight="false" outlineLevel="0" collapsed="false">
      <c r="A12" s="0" t="s">
        <v>237</v>
      </c>
      <c r="B12" s="0" t="s">
        <v>34</v>
      </c>
      <c r="C12" s="0" t="n">
        <v>12</v>
      </c>
      <c r="D12" s="0" t="n">
        <v>32</v>
      </c>
      <c r="E12" s="0" t="n">
        <v>2.187</v>
      </c>
      <c r="F12" s="0" t="n">
        <v>2.187</v>
      </c>
      <c r="G12" s="0" t="n">
        <v>2.187</v>
      </c>
    </row>
    <row r="13" customFormat="false" ht="15" hidden="false" customHeight="false" outlineLevel="0" collapsed="false">
      <c r="A13" s="0" t="s">
        <v>322</v>
      </c>
      <c r="B13" s="0" t="s">
        <v>34</v>
      </c>
      <c r="C13" s="0" t="n">
        <v>12</v>
      </c>
      <c r="D13" s="0" t="n">
        <v>32</v>
      </c>
      <c r="E13" s="0" t="n">
        <v>4.813</v>
      </c>
      <c r="F13" s="0" t="n">
        <v>6.313</v>
      </c>
      <c r="G13" s="0" t="n">
        <v>5.713</v>
      </c>
    </row>
    <row r="14" customFormat="false" ht="15" hidden="false" customHeight="false" outlineLevel="0" collapsed="false">
      <c r="A14" s="0" t="s">
        <v>249</v>
      </c>
      <c r="B14" s="0" t="s">
        <v>19</v>
      </c>
      <c r="C14" s="0" t="n">
        <v>90</v>
      </c>
      <c r="D14" s="0" t="n">
        <v>100</v>
      </c>
      <c r="E14" s="0" t="n">
        <v>0.892</v>
      </c>
      <c r="F14" s="0" t="n">
        <v>0.991</v>
      </c>
      <c r="G14" s="0" t="n">
        <v>0.941</v>
      </c>
    </row>
    <row r="15" customFormat="false" ht="15" hidden="false" customHeight="false" outlineLevel="0" collapsed="false">
      <c r="A15" s="0" t="s">
        <v>251</v>
      </c>
      <c r="B15" s="0" t="s">
        <v>19</v>
      </c>
      <c r="C15" s="0" t="n">
        <v>90</v>
      </c>
      <c r="D15" s="0" t="n">
        <v>100</v>
      </c>
      <c r="E15" s="0" t="n">
        <v>1.395</v>
      </c>
      <c r="F15" s="0" t="n">
        <v>1.55</v>
      </c>
      <c r="G15" s="0" t="n">
        <v>1.473</v>
      </c>
    </row>
    <row r="16" customFormat="false" ht="15" hidden="false" customHeight="false" outlineLevel="0" collapsed="false">
      <c r="A16" s="0" t="s">
        <v>237</v>
      </c>
      <c r="B16" s="0" t="s">
        <v>19</v>
      </c>
      <c r="C16" s="0" t="n">
        <v>90</v>
      </c>
      <c r="D16" s="0" t="n">
        <v>100</v>
      </c>
      <c r="E16" s="0" t="n">
        <v>2.072</v>
      </c>
      <c r="F16" s="0" t="n">
        <v>2.302</v>
      </c>
      <c r="G16" s="0" t="n">
        <v>2.187</v>
      </c>
    </row>
    <row r="17" customFormat="false" ht="15" hidden="false" customHeight="false" outlineLevel="0" collapsed="false">
      <c r="A17" s="0" t="s">
        <v>322</v>
      </c>
      <c r="B17" s="0" t="s">
        <v>19</v>
      </c>
      <c r="C17" s="0" t="n">
        <v>90</v>
      </c>
      <c r="D17" s="0" t="n">
        <v>100</v>
      </c>
      <c r="E17" s="0" t="n">
        <v>5.413</v>
      </c>
      <c r="F17" s="0" t="n">
        <v>6.014</v>
      </c>
      <c r="G17" s="0" t="n">
        <v>5.713</v>
      </c>
    </row>
    <row r="18" customFormat="false" ht="15" hidden="false" customHeight="false" outlineLevel="0" collapsed="false">
      <c r="A18" s="0" t="s">
        <v>249</v>
      </c>
      <c r="B18" s="0" t="s">
        <v>338</v>
      </c>
      <c r="C18" s="0" t="n">
        <v>1</v>
      </c>
      <c r="D18" s="0" t="n">
        <v>1.45</v>
      </c>
      <c r="E18" s="0" t="n">
        <v>0.903</v>
      </c>
      <c r="F18" s="0" t="n">
        <v>0.989</v>
      </c>
      <c r="G18" s="0" t="n">
        <v>0.941</v>
      </c>
    </row>
    <row r="19" customFormat="false" ht="15" hidden="false" customHeight="false" outlineLevel="0" collapsed="false">
      <c r="A19" s="0" t="s">
        <v>249</v>
      </c>
      <c r="B19" s="0" t="s">
        <v>339</v>
      </c>
      <c r="C19" s="0" t="n">
        <v>1.1</v>
      </c>
      <c r="D19" s="0" t="n">
        <v>1.4</v>
      </c>
      <c r="E19" s="0" t="n">
        <v>0.924</v>
      </c>
      <c r="F19" s="0" t="n">
        <v>0.984</v>
      </c>
      <c r="G19" s="0" t="n">
        <v>0.941</v>
      </c>
    </row>
    <row r="20" customFormat="false" ht="15" hidden="false" customHeight="false" outlineLevel="0" collapsed="false">
      <c r="A20" s="0" t="s">
        <v>249</v>
      </c>
      <c r="B20" s="0" t="s">
        <v>340</v>
      </c>
      <c r="C20" s="0" t="n">
        <v>0.75</v>
      </c>
      <c r="D20" s="0" t="n">
        <v>0.9</v>
      </c>
      <c r="E20" s="0" t="n">
        <v>0.959</v>
      </c>
      <c r="F20" s="0" t="n">
        <v>0.933</v>
      </c>
      <c r="G20" s="0" t="n">
        <v>0.941</v>
      </c>
    </row>
    <row r="21" customFormat="false" ht="15" hidden="false" customHeight="false" outlineLevel="0" collapsed="false">
      <c r="A21" s="0" t="s">
        <v>249</v>
      </c>
      <c r="B21" s="0" t="s">
        <v>341</v>
      </c>
      <c r="C21" s="0" t="n">
        <v>0</v>
      </c>
      <c r="E21" s="0" t="n">
        <v>0.941</v>
      </c>
      <c r="G21" s="0" t="n">
        <v>0.941</v>
      </c>
    </row>
    <row r="22" customFormat="false" ht="15" hidden="false" customHeight="false" outlineLevel="0" collapsed="false">
      <c r="A22" s="0" t="s">
        <v>322</v>
      </c>
      <c r="B22" s="0" t="s">
        <v>341</v>
      </c>
      <c r="C22" s="0" t="n">
        <v>0</v>
      </c>
      <c r="E22" s="0" t="n">
        <v>5.713</v>
      </c>
      <c r="G22" s="0" t="n">
        <v>5.713</v>
      </c>
    </row>
    <row r="23" customFormat="false" ht="15" hidden="false" customHeight="false" outlineLevel="0" collapsed="false">
      <c r="A23" s="0" t="s">
        <v>321</v>
      </c>
      <c r="B23" s="0" t="s">
        <v>341</v>
      </c>
      <c r="C23" s="0" t="n">
        <v>0</v>
      </c>
      <c r="E23" s="0" t="n">
        <v>4.146</v>
      </c>
      <c r="G23" s="0" t="n">
        <v>4.146</v>
      </c>
    </row>
    <row r="24" customFormat="false" ht="15" hidden="false" customHeight="false" outlineLevel="0" collapsed="false">
      <c r="A24" s="0" t="s">
        <v>249</v>
      </c>
      <c r="B24" s="0" t="s">
        <v>341</v>
      </c>
      <c r="C24" s="0" t="n">
        <v>2000</v>
      </c>
      <c r="E24" s="0" t="n">
        <v>1.127</v>
      </c>
      <c r="G24" s="0" t="n">
        <v>0.941</v>
      </c>
    </row>
    <row r="25" customFormat="false" ht="15" hidden="false" customHeight="false" outlineLevel="0" collapsed="false">
      <c r="A25" s="0" t="s">
        <v>322</v>
      </c>
      <c r="B25" s="0" t="s">
        <v>341</v>
      </c>
      <c r="C25" s="0" t="n">
        <v>2000</v>
      </c>
      <c r="E25" s="0" t="n">
        <v>6.616</v>
      </c>
      <c r="G25" s="0" t="n">
        <v>5.713</v>
      </c>
    </row>
    <row r="26" customFormat="false" ht="15" hidden="false" customHeight="false" outlineLevel="0" collapsed="false">
      <c r="A26" s="0" t="s">
        <v>321</v>
      </c>
      <c r="B26" s="0" t="s">
        <v>341</v>
      </c>
      <c r="C26" s="0" t="n">
        <v>2000</v>
      </c>
      <c r="E26" s="0" t="n">
        <v>4.763</v>
      </c>
      <c r="G26" s="0" t="n">
        <v>4.146</v>
      </c>
    </row>
    <row r="27" customFormat="false" ht="15" hidden="false" customHeight="false" outlineLevel="0" collapsed="false">
      <c r="A27" s="0" t="s">
        <v>249</v>
      </c>
      <c r="B27" s="0" t="s">
        <v>341</v>
      </c>
      <c r="C27" s="0" t="n">
        <v>4000</v>
      </c>
      <c r="E27" s="0" t="n">
        <v>1.313</v>
      </c>
      <c r="G27" s="0" t="n">
        <v>0.941</v>
      </c>
    </row>
    <row r="28" customFormat="false" ht="15" hidden="false" customHeight="false" outlineLevel="0" collapsed="false">
      <c r="A28" s="0" t="s">
        <v>322</v>
      </c>
      <c r="B28" s="0" t="s">
        <v>341</v>
      </c>
      <c r="C28" s="0" t="n">
        <v>4000</v>
      </c>
      <c r="E28" s="0" t="n">
        <v>7.518</v>
      </c>
      <c r="G28" s="0" t="n">
        <v>5.713</v>
      </c>
    </row>
    <row r="29" customFormat="false" ht="15" hidden="false" customHeight="false" outlineLevel="0" collapsed="false">
      <c r="A29" s="0" t="s">
        <v>321</v>
      </c>
      <c r="B29" s="0" t="s">
        <v>341</v>
      </c>
      <c r="C29" s="0" t="n">
        <v>4000</v>
      </c>
      <c r="E29" s="0" t="n">
        <v>5.381</v>
      </c>
      <c r="G29" s="0" t="n">
        <v>4.146</v>
      </c>
    </row>
    <row r="30" customFormat="false" ht="15" hidden="false" customHeight="false" outlineLevel="0" collapsed="false">
      <c r="A30" s="0" t="s">
        <v>249</v>
      </c>
      <c r="B30" s="0" t="s">
        <v>341</v>
      </c>
      <c r="C30" s="0" t="n">
        <v>8000</v>
      </c>
      <c r="E30" s="0" t="n">
        <v>1.685</v>
      </c>
      <c r="G30" s="0" t="n">
        <v>0.941</v>
      </c>
    </row>
    <row r="31" customFormat="false" ht="15" hidden="false" customHeight="false" outlineLevel="0" collapsed="false">
      <c r="A31" s="0" t="s">
        <v>322</v>
      </c>
      <c r="B31" s="0" t="s">
        <v>341</v>
      </c>
      <c r="C31" s="0" t="n">
        <v>8000</v>
      </c>
      <c r="E31" s="0" t="n">
        <v>9.323</v>
      </c>
      <c r="G31" s="0" t="n">
        <v>5.713</v>
      </c>
    </row>
    <row r="32" customFormat="false" ht="15" hidden="false" customHeight="false" outlineLevel="0" collapsed="false">
      <c r="A32" s="0" t="s">
        <v>321</v>
      </c>
      <c r="B32" s="0" t="s">
        <v>341</v>
      </c>
      <c r="C32" s="0" t="n">
        <v>8000</v>
      </c>
      <c r="E32" s="0" t="n">
        <v>6.616</v>
      </c>
      <c r="G32" s="0" t="n">
        <v>4.146</v>
      </c>
    </row>
    <row r="33" customFormat="false" ht="15" hidden="false" customHeight="false" outlineLevel="0" collapsed="false">
      <c r="A33" s="0" t="s">
        <v>249</v>
      </c>
      <c r="B33" s="0" t="s">
        <v>341</v>
      </c>
      <c r="C33" s="0" t="n">
        <v>13000</v>
      </c>
      <c r="E33" s="0" t="n">
        <v>2.149</v>
      </c>
      <c r="G33" s="0" t="n">
        <v>0.941</v>
      </c>
    </row>
    <row r="34" customFormat="false" ht="15" hidden="false" customHeight="false" outlineLevel="0" collapsed="false">
      <c r="A34" s="0" t="s">
        <v>322</v>
      </c>
      <c r="B34" s="0" t="s">
        <v>341</v>
      </c>
      <c r="C34" s="0" t="n">
        <v>13000</v>
      </c>
      <c r="E34" s="0" t="n">
        <v>11.58</v>
      </c>
      <c r="G34" s="0" t="n">
        <v>5.713</v>
      </c>
    </row>
    <row r="35" customFormat="false" ht="15" hidden="false" customHeight="false" outlineLevel="0" collapsed="false">
      <c r="A35" s="0" t="s">
        <v>321</v>
      </c>
      <c r="B35" s="0" t="s">
        <v>341</v>
      </c>
      <c r="C35" s="0" t="n">
        <v>13000</v>
      </c>
      <c r="E35" s="0" t="n">
        <v>8.16</v>
      </c>
      <c r="G35" s="0" t="n">
        <v>4.146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277</v>
      </c>
      <c r="B1" s="1" t="s">
        <v>342</v>
      </c>
      <c r="C1" s="1" t="s">
        <v>343</v>
      </c>
      <c r="D1" s="1" t="s">
        <v>344</v>
      </c>
      <c r="E1" s="1" t="s">
        <v>345</v>
      </c>
      <c r="F1" s="1" t="s">
        <v>346</v>
      </c>
      <c r="G1" s="1" t="s">
        <v>347</v>
      </c>
      <c r="H1" s="1" t="s">
        <v>15</v>
      </c>
    </row>
    <row r="2" customFormat="false" ht="15" hidden="false" customHeight="false" outlineLevel="0" collapsed="false">
      <c r="A2" s="0" t="s">
        <v>348</v>
      </c>
      <c r="B2" s="0" t="s">
        <v>349</v>
      </c>
      <c r="C2" s="0" t="n">
        <v>1026</v>
      </c>
      <c r="D2" s="0" t="s">
        <v>350</v>
      </c>
      <c r="E2" s="0" t="n">
        <v>1143</v>
      </c>
      <c r="F2" s="0" t="s">
        <v>351</v>
      </c>
      <c r="G2" s="0" t="s">
        <v>352</v>
      </c>
      <c r="H2" s="0" t="s">
        <v>353</v>
      </c>
    </row>
    <row r="3" customFormat="false" ht="15" hidden="false" customHeight="false" outlineLevel="0" collapsed="false">
      <c r="A3" s="0" t="s">
        <v>354</v>
      </c>
      <c r="B3" s="0" t="s">
        <v>355</v>
      </c>
      <c r="C3" s="0" t="n">
        <v>989</v>
      </c>
      <c r="D3" s="0" t="s">
        <v>356</v>
      </c>
      <c r="E3" s="0" t="n">
        <v>1072</v>
      </c>
      <c r="F3" s="0" t="s">
        <v>357</v>
      </c>
      <c r="G3" s="0" t="s">
        <v>358</v>
      </c>
      <c r="H3" s="0" t="s">
        <v>359</v>
      </c>
    </row>
    <row r="4" customFormat="false" ht="15" hidden="false" customHeight="false" outlineLevel="0" collapsed="false">
      <c r="A4" s="0" t="s">
        <v>360</v>
      </c>
      <c r="B4" s="0" t="s">
        <v>355</v>
      </c>
      <c r="C4" s="0" t="n">
        <v>1133</v>
      </c>
      <c r="D4" s="0" t="s">
        <v>361</v>
      </c>
      <c r="E4" s="0" t="n">
        <v>1231</v>
      </c>
      <c r="F4" s="0" t="s">
        <v>351</v>
      </c>
      <c r="G4" s="0" t="s">
        <v>362</v>
      </c>
      <c r="H4" s="0" t="s">
        <v>359</v>
      </c>
    </row>
    <row r="5" customFormat="false" ht="15" hidden="false" customHeight="false" outlineLevel="0" collapsed="false">
      <c r="A5" s="0" t="s">
        <v>363</v>
      </c>
      <c r="B5" s="0" t="s">
        <v>355</v>
      </c>
      <c r="C5" s="0" t="n">
        <v>1044</v>
      </c>
      <c r="D5" s="0" t="s">
        <v>364</v>
      </c>
      <c r="E5" s="0" t="n">
        <v>1230</v>
      </c>
      <c r="F5" s="0" t="s">
        <v>365</v>
      </c>
      <c r="G5" s="0" t="s">
        <v>366</v>
      </c>
      <c r="H5" s="0" t="s">
        <v>359</v>
      </c>
    </row>
    <row r="6" customFormat="false" ht="15" hidden="false" customHeight="false" outlineLevel="0" collapsed="false">
      <c r="A6" s="0" t="s">
        <v>367</v>
      </c>
      <c r="B6" s="0" t="s">
        <v>355</v>
      </c>
      <c r="C6" s="0" t="n">
        <v>1031</v>
      </c>
      <c r="D6" s="0" t="s">
        <v>368</v>
      </c>
      <c r="E6" s="0" t="n">
        <v>1404</v>
      </c>
      <c r="F6" s="0" t="s">
        <v>369</v>
      </c>
      <c r="G6" s="0" t="s">
        <v>370</v>
      </c>
      <c r="H6" s="0" t="s">
        <v>359</v>
      </c>
    </row>
    <row r="7" customFormat="false" ht="15" hidden="false" customHeight="false" outlineLevel="0" collapsed="false">
      <c r="A7" s="0" t="s">
        <v>371</v>
      </c>
      <c r="B7" s="0" t="s">
        <v>355</v>
      </c>
      <c r="C7" s="0" t="n">
        <v>1038</v>
      </c>
      <c r="D7" s="0" t="s">
        <v>372</v>
      </c>
      <c r="E7" s="0" t="n">
        <v>1453</v>
      </c>
      <c r="F7" s="0" t="s">
        <v>373</v>
      </c>
      <c r="G7" s="0" t="s">
        <v>374</v>
      </c>
      <c r="H7" s="0" t="s">
        <v>359</v>
      </c>
    </row>
    <row r="8" customFormat="false" ht="15" hidden="false" customHeight="false" outlineLevel="0" collapsed="false">
      <c r="A8" s="0" t="s">
        <v>375</v>
      </c>
      <c r="B8" s="0" t="s">
        <v>355</v>
      </c>
      <c r="C8" s="0" t="n">
        <v>1568</v>
      </c>
      <c r="D8" s="0" t="s">
        <v>376</v>
      </c>
      <c r="E8" s="0" t="n">
        <v>1790</v>
      </c>
      <c r="F8" s="0" t="s">
        <v>377</v>
      </c>
      <c r="G8" s="0" t="s">
        <v>378</v>
      </c>
      <c r="H8" s="0" t="s">
        <v>359</v>
      </c>
    </row>
    <row r="9" customFormat="false" ht="15" hidden="false" customHeight="false" outlineLevel="0" collapsed="false">
      <c r="A9" s="0" t="s">
        <v>379</v>
      </c>
      <c r="B9" s="0" t="s">
        <v>355</v>
      </c>
      <c r="C9" s="0" t="n">
        <v>1688</v>
      </c>
      <c r="D9" s="0" t="s">
        <v>380</v>
      </c>
      <c r="E9" s="0" t="n">
        <v>1789</v>
      </c>
      <c r="F9" s="0" t="s">
        <v>381</v>
      </c>
      <c r="G9" s="0" t="s">
        <v>378</v>
      </c>
      <c r="H9" s="0" t="s">
        <v>359</v>
      </c>
    </row>
    <row r="10" customFormat="false" ht="15" hidden="false" customHeight="false" outlineLevel="0" collapsed="false">
      <c r="A10" s="0" t="s">
        <v>382</v>
      </c>
      <c r="B10" s="0" t="s">
        <v>383</v>
      </c>
      <c r="C10" s="0" t="n">
        <v>1842</v>
      </c>
      <c r="D10" s="0" t="s">
        <v>384</v>
      </c>
      <c r="E10" s="0" t="n">
        <v>2180</v>
      </c>
      <c r="F10" s="0" t="s">
        <v>385</v>
      </c>
      <c r="G10" s="0" t="s">
        <v>386</v>
      </c>
      <c r="H10" s="0" t="s">
        <v>387</v>
      </c>
    </row>
    <row r="11" customFormat="false" ht="15" hidden="false" customHeight="false" outlineLevel="0" collapsed="false">
      <c r="A11" s="0" t="s">
        <v>388</v>
      </c>
      <c r="B11" s="0" t="s">
        <v>383</v>
      </c>
      <c r="C11" s="0" t="n">
        <v>2532</v>
      </c>
      <c r="D11" s="0" t="s">
        <v>389</v>
      </c>
      <c r="E11" s="0" t="n">
        <v>2722</v>
      </c>
      <c r="F11" s="0" t="s">
        <v>390</v>
      </c>
      <c r="G11" s="0" t="s">
        <v>386</v>
      </c>
      <c r="H11" s="0" t="s">
        <v>387</v>
      </c>
    </row>
    <row r="12" customFormat="false" ht="15" hidden="false" customHeight="false" outlineLevel="0" collapsed="false">
      <c r="A12" s="0" t="s">
        <v>391</v>
      </c>
      <c r="B12" s="0" t="s">
        <v>355</v>
      </c>
      <c r="C12" s="0" t="n">
        <v>1004</v>
      </c>
      <c r="D12" s="0" t="s">
        <v>392</v>
      </c>
      <c r="E12" s="0" t="n">
        <v>1105</v>
      </c>
      <c r="F12" s="0" t="s">
        <v>393</v>
      </c>
      <c r="G12" s="0" t="s">
        <v>394</v>
      </c>
      <c r="H12" s="0" t="s">
        <v>395</v>
      </c>
    </row>
    <row r="13" customFormat="false" ht="15" hidden="false" customHeight="false" outlineLevel="0" collapsed="false">
      <c r="A13" s="0" t="s">
        <v>396</v>
      </c>
      <c r="B13" s="0" t="s">
        <v>355</v>
      </c>
      <c r="C13" s="0" t="n">
        <v>1006</v>
      </c>
      <c r="D13" s="0" t="s">
        <v>397</v>
      </c>
      <c r="E13" s="0" t="n">
        <v>1524</v>
      </c>
      <c r="F13" s="0" t="s">
        <v>398</v>
      </c>
      <c r="G13" s="0" t="s">
        <v>399</v>
      </c>
      <c r="H13" s="0" t="s">
        <v>400</v>
      </c>
    </row>
    <row r="14" customFormat="false" ht="15" hidden="false" customHeight="false" outlineLevel="0" collapsed="false">
      <c r="A14" s="0" t="s">
        <v>401</v>
      </c>
      <c r="B14" s="0" t="s">
        <v>355</v>
      </c>
      <c r="C14" s="0" t="n">
        <v>1089</v>
      </c>
      <c r="D14" s="0" t="s">
        <v>402</v>
      </c>
      <c r="E14" s="0" t="n">
        <v>1584</v>
      </c>
      <c r="F14" s="0" t="s">
        <v>403</v>
      </c>
      <c r="G14" s="0" t="s">
        <v>404</v>
      </c>
      <c r="H14" s="0" t="s">
        <v>405</v>
      </c>
    </row>
    <row r="15" customFormat="false" ht="15" hidden="false" customHeight="false" outlineLevel="0" collapsed="false">
      <c r="A15" s="0" t="s">
        <v>406</v>
      </c>
      <c r="B15" s="0" t="s">
        <v>355</v>
      </c>
      <c r="C15" s="0" t="n">
        <v>819</v>
      </c>
      <c r="D15" s="0" t="s">
        <v>407</v>
      </c>
      <c r="E15" s="0" t="n">
        <v>1514</v>
      </c>
      <c r="F15" s="0" t="s">
        <v>408</v>
      </c>
      <c r="G15" s="0" t="s">
        <v>409</v>
      </c>
      <c r="H15" s="0" t="s">
        <v>410</v>
      </c>
    </row>
    <row r="16" customFormat="false" ht="15" hidden="false" customHeight="false" outlineLevel="0" collapsed="false">
      <c r="A16" s="0" t="s">
        <v>411</v>
      </c>
      <c r="B16" s="0" t="s">
        <v>355</v>
      </c>
      <c r="C16" s="0" t="n">
        <v>1250</v>
      </c>
      <c r="D16" s="0" t="s">
        <v>412</v>
      </c>
      <c r="E16" s="0" t="n">
        <v>1656</v>
      </c>
      <c r="F16" s="0" t="s">
        <v>413</v>
      </c>
      <c r="G16" s="0" t="s">
        <v>414</v>
      </c>
      <c r="H16" s="0" t="s">
        <v>410</v>
      </c>
    </row>
    <row r="17" customFormat="false" ht="15" hidden="false" customHeight="false" outlineLevel="0" collapsed="false">
      <c r="A17" s="0" t="s">
        <v>415</v>
      </c>
      <c r="B17" s="0" t="s">
        <v>355</v>
      </c>
      <c r="C17" s="0" t="n">
        <v>1950</v>
      </c>
      <c r="D17" s="0" t="s">
        <v>416</v>
      </c>
      <c r="E17" s="0" t="n">
        <v>5299</v>
      </c>
      <c r="F17" s="0" t="s">
        <v>417</v>
      </c>
      <c r="G17" s="0" t="s">
        <v>418</v>
      </c>
      <c r="H17" s="0" t="s">
        <v>405</v>
      </c>
    </row>
    <row r="18" customFormat="false" ht="15" hidden="false" customHeight="false" outlineLevel="0" collapsed="false">
      <c r="A18" s="0" t="s">
        <v>419</v>
      </c>
      <c r="B18" s="0" t="s">
        <v>355</v>
      </c>
      <c r="C18" s="0" t="n">
        <v>1970</v>
      </c>
      <c r="D18" s="0" t="s">
        <v>420</v>
      </c>
      <c r="E18" s="0" t="n">
        <v>3214</v>
      </c>
      <c r="F18" s="0" t="s">
        <v>421</v>
      </c>
      <c r="G18" s="0" t="s">
        <v>422</v>
      </c>
      <c r="H18" s="0" t="s">
        <v>410</v>
      </c>
    </row>
    <row r="19" customFormat="false" ht="15" hidden="false" customHeight="false" outlineLevel="0" collapsed="false">
      <c r="A19" s="0" t="s">
        <v>423</v>
      </c>
      <c r="B19" s="0" t="s">
        <v>355</v>
      </c>
      <c r="C19" s="0" t="n">
        <v>2977</v>
      </c>
      <c r="D19" s="0" t="s">
        <v>424</v>
      </c>
      <c r="E19" s="0" t="n">
        <v>7604</v>
      </c>
      <c r="F19" s="0" t="s">
        <v>425</v>
      </c>
      <c r="G19" s="0" t="s">
        <v>426</v>
      </c>
      <c r="H19" s="0" t="s">
        <v>410</v>
      </c>
    </row>
    <row r="20" customFormat="false" ht="15" hidden="false" customHeight="false" outlineLevel="0" collapsed="false">
      <c r="A20" s="0" t="s">
        <v>427</v>
      </c>
      <c r="B20" s="0" t="s">
        <v>428</v>
      </c>
      <c r="C20" s="0" t="n">
        <v>1382</v>
      </c>
      <c r="D20" s="0" t="s">
        <v>429</v>
      </c>
      <c r="E20" s="0" t="n">
        <v>1815</v>
      </c>
      <c r="F20" s="0" t="s">
        <v>430</v>
      </c>
      <c r="G20" s="0" t="s">
        <v>431</v>
      </c>
      <c r="H20" s="0" t="s">
        <v>405</v>
      </c>
    </row>
    <row r="21" customFormat="false" ht="15" hidden="false" customHeight="false" outlineLevel="0" collapsed="false">
      <c r="A21" s="0" t="s">
        <v>432</v>
      </c>
      <c r="B21" s="0" t="s">
        <v>355</v>
      </c>
      <c r="C21" s="0" t="n">
        <v>857</v>
      </c>
      <c r="D21" s="0" t="s">
        <v>424</v>
      </c>
      <c r="E21" s="0" t="n">
        <v>997</v>
      </c>
      <c r="F21" s="0" t="s">
        <v>433</v>
      </c>
      <c r="G21" s="0" t="s">
        <v>434</v>
      </c>
      <c r="H21" s="0" t="s">
        <v>435</v>
      </c>
    </row>
    <row r="22" customFormat="false" ht="15" hidden="false" customHeight="false" outlineLevel="0" collapsed="false">
      <c r="A22" s="0" t="s">
        <v>436</v>
      </c>
      <c r="B22" s="0" t="s">
        <v>355</v>
      </c>
      <c r="C22" s="0" t="n">
        <v>113</v>
      </c>
      <c r="D22" s="0" t="s">
        <v>424</v>
      </c>
      <c r="E22" s="0" t="n">
        <v>162</v>
      </c>
      <c r="F22" s="0" t="n">
        <v>24</v>
      </c>
      <c r="G22" s="0" t="s">
        <v>424</v>
      </c>
      <c r="H22" s="0" t="s">
        <v>437</v>
      </c>
    </row>
    <row r="23" customFormat="false" ht="15" hidden="false" customHeight="false" outlineLevel="0" collapsed="false">
      <c r="A23" s="0" t="s">
        <v>438</v>
      </c>
      <c r="B23" s="0" t="s">
        <v>355</v>
      </c>
      <c r="C23" s="0" t="n">
        <v>253</v>
      </c>
      <c r="D23" s="0" t="s">
        <v>424</v>
      </c>
      <c r="E23" s="0" t="n">
        <v>490</v>
      </c>
      <c r="F23" s="0" t="n">
        <v>30</v>
      </c>
      <c r="G23" s="0" t="s">
        <v>424</v>
      </c>
      <c r="H23" s="0" t="s">
        <v>439</v>
      </c>
    </row>
    <row r="24" customFormat="false" ht="15" hidden="false" customHeight="false" outlineLevel="0" collapsed="false">
      <c r="A24" s="0" t="s">
        <v>440</v>
      </c>
      <c r="B24" s="0" t="s">
        <v>355</v>
      </c>
      <c r="C24" s="0" t="n">
        <v>526</v>
      </c>
      <c r="D24" s="0" t="s">
        <v>424</v>
      </c>
      <c r="E24" s="0" t="n">
        <v>636</v>
      </c>
      <c r="F24" s="0" t="n">
        <v>30</v>
      </c>
      <c r="G24" s="0" t="s">
        <v>424</v>
      </c>
      <c r="H24" s="0" t="s">
        <v>439</v>
      </c>
    </row>
    <row r="25" customFormat="false" ht="15" hidden="false" customHeight="false" outlineLevel="0" collapsed="false">
      <c r="A25" s="0" t="s">
        <v>441</v>
      </c>
      <c r="B25" s="0" t="s">
        <v>355</v>
      </c>
      <c r="C25" s="0" t="n">
        <v>783</v>
      </c>
      <c r="D25" s="0" t="s">
        <v>424</v>
      </c>
      <c r="E25" s="0" t="n">
        <v>980</v>
      </c>
      <c r="F25" s="0" t="n">
        <v>30</v>
      </c>
      <c r="G25" s="0" t="s">
        <v>424</v>
      </c>
      <c r="H25" s="0" t="s">
        <v>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442</v>
      </c>
      <c r="B1" s="1" t="s">
        <v>295</v>
      </c>
      <c r="C1" s="1" t="s">
        <v>296</v>
      </c>
      <c r="D1" s="1" t="s">
        <v>309</v>
      </c>
      <c r="E1" s="1" t="s">
        <v>443</v>
      </c>
      <c r="F1" s="1" t="s">
        <v>444</v>
      </c>
      <c r="G1" s="1" t="s">
        <v>445</v>
      </c>
      <c r="H1" s="1" t="s">
        <v>446</v>
      </c>
      <c r="I1" s="1" t="s">
        <v>447</v>
      </c>
      <c r="J1" s="1" t="s">
        <v>448</v>
      </c>
    </row>
    <row r="2" customFormat="false" ht="15" hidden="false" customHeight="false" outlineLevel="0" collapsed="false">
      <c r="A2" s="0" t="s">
        <v>449</v>
      </c>
      <c r="B2" s="0" t="n">
        <v>3.1</v>
      </c>
      <c r="C2" s="0" t="s">
        <v>303</v>
      </c>
      <c r="D2" s="0" t="n">
        <v>9.985</v>
      </c>
      <c r="E2" s="0" t="n">
        <v>3.91</v>
      </c>
      <c r="F2" s="0" t="n">
        <v>31.664</v>
      </c>
      <c r="G2" s="0" t="n">
        <v>13.491</v>
      </c>
      <c r="H2" s="0" t="n">
        <v>9.955</v>
      </c>
      <c r="I2" s="0" t="n">
        <v>9.223</v>
      </c>
      <c r="J2" s="0" t="n">
        <v>-0.074</v>
      </c>
    </row>
    <row r="3" customFormat="false" ht="15" hidden="false" customHeight="false" outlineLevel="0" collapsed="false">
      <c r="A3" s="0" t="s">
        <v>450</v>
      </c>
      <c r="B3" s="0" t="n">
        <v>3.1</v>
      </c>
      <c r="C3" s="0" t="s">
        <v>303</v>
      </c>
      <c r="D3" s="0" t="n">
        <v>9.956</v>
      </c>
      <c r="E3" s="0" t="n">
        <v>4.62</v>
      </c>
      <c r="F3" s="0" t="n">
        <v>30.954</v>
      </c>
      <c r="G3" s="0" t="n">
        <v>13.875</v>
      </c>
      <c r="H3" s="0" t="n">
        <v>11.543</v>
      </c>
      <c r="I3" s="0" t="n">
        <v>10.624</v>
      </c>
      <c r="J3" s="0" t="n">
        <v>-0.08</v>
      </c>
    </row>
    <row r="4" customFormat="false" ht="15" hidden="false" customHeight="false" outlineLevel="0" collapsed="false">
      <c r="A4" s="0" t="s">
        <v>451</v>
      </c>
      <c r="B4" s="0" t="n">
        <v>3.1</v>
      </c>
      <c r="C4" s="0" t="s">
        <v>452</v>
      </c>
      <c r="D4" s="0" t="n">
        <v>9.933</v>
      </c>
      <c r="E4" s="0" t="n">
        <v>4.23</v>
      </c>
      <c r="F4" s="0" t="n">
        <v>33.782</v>
      </c>
      <c r="G4" s="0" t="n">
        <v>12.167</v>
      </c>
      <c r="H4" s="0" t="n">
        <v>2.852</v>
      </c>
      <c r="I4" s="0" t="n">
        <v>3.793</v>
      </c>
      <c r="J4" s="0" t="n">
        <v>0.33</v>
      </c>
    </row>
    <row r="5" customFormat="false" ht="15" hidden="false" customHeight="false" outlineLevel="0" collapsed="false">
      <c r="A5" s="0" t="s">
        <v>453</v>
      </c>
      <c r="B5" s="0" t="n">
        <v>3.1</v>
      </c>
      <c r="C5" s="0" t="s">
        <v>454</v>
      </c>
      <c r="D5" s="0" t="n">
        <v>10.048</v>
      </c>
      <c r="E5" s="0" t="n">
        <v>4.38</v>
      </c>
      <c r="F5" s="0" t="n">
        <v>33.969</v>
      </c>
      <c r="G5" s="0" t="n">
        <v>12.58</v>
      </c>
      <c r="H5" s="0" t="n">
        <v>6.622</v>
      </c>
      <c r="I5" s="0" t="n">
        <v>7.299</v>
      </c>
      <c r="J5" s="0" t="n">
        <v>0.102</v>
      </c>
    </row>
    <row r="6" customFormat="false" ht="15" hidden="false" customHeight="false" outlineLevel="0" collapsed="false">
      <c r="A6" s="0" t="s">
        <v>455</v>
      </c>
      <c r="B6" s="0" t="n">
        <v>3.1</v>
      </c>
      <c r="C6" s="0" t="s">
        <v>454</v>
      </c>
      <c r="D6" s="0" t="n">
        <v>9.997</v>
      </c>
      <c r="E6" s="0" t="n">
        <v>4.1</v>
      </c>
      <c r="F6" s="0" t="n">
        <v>30.13</v>
      </c>
      <c r="G6" s="0" t="n">
        <v>13.475</v>
      </c>
      <c r="H6" s="0" t="n">
        <v>6.154</v>
      </c>
      <c r="I6" s="0" t="n">
        <v>6.778</v>
      </c>
      <c r="J6" s="0" t="n">
        <v>0.101</v>
      </c>
    </row>
    <row r="7" customFormat="false" ht="15" hidden="false" customHeight="false" outlineLevel="0" collapsed="false">
      <c r="A7" s="0" t="s">
        <v>456</v>
      </c>
      <c r="B7" s="0" t="n">
        <v>3.1</v>
      </c>
      <c r="C7" s="0" t="s">
        <v>303</v>
      </c>
      <c r="D7" s="0" t="n">
        <v>1.068</v>
      </c>
      <c r="E7" s="0" t="n">
        <v>3.74</v>
      </c>
      <c r="F7" s="0" t="n">
        <v>38.891</v>
      </c>
      <c r="G7" s="0" t="n">
        <v>10.186</v>
      </c>
      <c r="H7" s="0" t="n">
        <v>2.469</v>
      </c>
      <c r="I7" s="0" t="n">
        <v>2.642</v>
      </c>
      <c r="J7" s="0" t="n">
        <v>0.07</v>
      </c>
    </row>
    <row r="8" customFormat="false" ht="15" hidden="false" customHeight="false" outlineLevel="0" collapsed="false">
      <c r="A8" s="0" t="s">
        <v>457</v>
      </c>
      <c r="B8" s="0" t="n">
        <v>3.1</v>
      </c>
      <c r="C8" s="0" t="s">
        <v>454</v>
      </c>
      <c r="D8" s="0" t="n">
        <v>1.304</v>
      </c>
      <c r="E8" s="0" t="n">
        <v>3.83</v>
      </c>
      <c r="F8" s="0" t="n">
        <v>34.461</v>
      </c>
      <c r="G8" s="0" t="n">
        <v>14.336</v>
      </c>
      <c r="H8" s="0" t="n">
        <v>2.553</v>
      </c>
      <c r="I8" s="0" t="n">
        <v>2.73</v>
      </c>
      <c r="J8" s="0" t="n">
        <v>0.069</v>
      </c>
    </row>
    <row r="9" customFormat="false" ht="15" hidden="false" customHeight="false" outlineLevel="0" collapsed="false">
      <c r="A9" s="0" t="s">
        <v>458</v>
      </c>
      <c r="B9" s="0" t="n">
        <v>3.1</v>
      </c>
      <c r="C9" s="0" t="s">
        <v>303</v>
      </c>
      <c r="D9" s="0" t="n">
        <v>3.035</v>
      </c>
      <c r="E9" s="0" t="n">
        <v>4.94</v>
      </c>
      <c r="F9" s="0" t="n">
        <v>34.434</v>
      </c>
      <c r="G9" s="0" t="n">
        <v>13.103</v>
      </c>
      <c r="H9" s="0" t="n">
        <v>5.079</v>
      </c>
      <c r="I9" s="0" t="n">
        <v>4.927</v>
      </c>
      <c r="J9" s="0" t="n">
        <v>-0.03</v>
      </c>
    </row>
    <row r="10" customFormat="false" ht="15" hidden="false" customHeight="false" outlineLevel="0" collapsed="false">
      <c r="A10" s="0" t="s">
        <v>459</v>
      </c>
      <c r="B10" s="0" t="n">
        <v>3.1</v>
      </c>
      <c r="C10" s="0" t="s">
        <v>303</v>
      </c>
      <c r="D10" s="0" t="n">
        <v>3.044</v>
      </c>
      <c r="E10" s="0" t="n">
        <v>3.94</v>
      </c>
      <c r="F10" s="0" t="n">
        <v>35.866</v>
      </c>
      <c r="G10" s="0" t="n">
        <v>11.243</v>
      </c>
      <c r="H10" s="0" t="n">
        <v>4.326</v>
      </c>
      <c r="I10" s="0" t="n">
        <v>4.182</v>
      </c>
      <c r="J10" s="0" t="n">
        <v>-0.033</v>
      </c>
    </row>
    <row r="11" customFormat="false" ht="15" hidden="false" customHeight="false" outlineLevel="0" collapsed="false">
      <c r="A11" s="0" t="s">
        <v>460</v>
      </c>
      <c r="B11" s="0" t="n">
        <v>3.1</v>
      </c>
      <c r="C11" s="0" t="s">
        <v>454</v>
      </c>
      <c r="D11" s="0" t="n">
        <v>2.961</v>
      </c>
      <c r="E11" s="0" t="n">
        <v>3.71</v>
      </c>
      <c r="F11" s="0" t="n">
        <v>34.263</v>
      </c>
      <c r="G11" s="0" t="n">
        <v>11.556</v>
      </c>
      <c r="H11" s="0" t="n">
        <v>4.241</v>
      </c>
      <c r="I11" s="0" t="n">
        <v>3.839</v>
      </c>
      <c r="J11" s="0" t="n">
        <v>-0.095</v>
      </c>
    </row>
    <row r="12" customFormat="false" ht="15" hidden="false" customHeight="false" outlineLevel="0" collapsed="false">
      <c r="A12" s="0" t="s">
        <v>461</v>
      </c>
      <c r="B12" s="0" t="n">
        <v>3.1</v>
      </c>
      <c r="C12" s="0" t="s">
        <v>454</v>
      </c>
      <c r="D12" s="0" t="n">
        <v>3.013</v>
      </c>
      <c r="E12" s="0" t="n">
        <v>3.98</v>
      </c>
      <c r="F12" s="0" t="n">
        <v>31.236</v>
      </c>
      <c r="G12" s="0" t="n">
        <v>13.195</v>
      </c>
      <c r="H12" s="0" t="n">
        <v>4.145</v>
      </c>
      <c r="I12" s="0" t="n">
        <v>3.917</v>
      </c>
      <c r="J12" s="0" t="n">
        <v>-0.055</v>
      </c>
    </row>
    <row r="13" customFormat="false" ht="15" hidden="false" customHeight="false" outlineLevel="0" collapsed="false">
      <c r="A13" s="0" t="s">
        <v>462</v>
      </c>
      <c r="B13" s="0" t="n">
        <v>3.1</v>
      </c>
      <c r="C13" s="0" t="s">
        <v>303</v>
      </c>
      <c r="D13" s="0" t="n">
        <v>4.996</v>
      </c>
      <c r="E13" s="0" t="n">
        <v>4.4</v>
      </c>
      <c r="F13" s="0" t="n">
        <v>33.404</v>
      </c>
      <c r="G13" s="0" t="n">
        <v>12.702</v>
      </c>
      <c r="H13" s="0" t="n">
        <v>6.849</v>
      </c>
      <c r="I13" s="0" t="n">
        <v>6.126</v>
      </c>
      <c r="J13" s="0" t="n">
        <v>-0.106</v>
      </c>
    </row>
    <row r="14" customFormat="false" ht="15" hidden="false" customHeight="false" outlineLevel="0" collapsed="false">
      <c r="A14" s="0" t="s">
        <v>463</v>
      </c>
      <c r="B14" s="0" t="n">
        <v>3.1</v>
      </c>
      <c r="C14" s="0" t="s">
        <v>454</v>
      </c>
      <c r="D14" s="0" t="n">
        <v>4.907</v>
      </c>
      <c r="E14" s="0" t="n">
        <v>3.87</v>
      </c>
      <c r="F14" s="0" t="n">
        <v>35.399</v>
      </c>
      <c r="G14" s="0" t="n">
        <v>11.262</v>
      </c>
      <c r="H14" s="0" t="n">
        <v>5.336</v>
      </c>
      <c r="I14" s="0" t="n">
        <v>5.55</v>
      </c>
      <c r="J14" s="0" t="n">
        <v>0.04</v>
      </c>
    </row>
    <row r="15" customFormat="false" ht="15" hidden="false" customHeight="false" outlineLevel="0" collapsed="false">
      <c r="A15" s="0" t="s">
        <v>464</v>
      </c>
      <c r="B15" s="0" t="n">
        <v>3.8</v>
      </c>
      <c r="C15" s="0" t="s">
        <v>303</v>
      </c>
      <c r="D15" s="0" t="n">
        <v>10.07</v>
      </c>
      <c r="E15" s="0" t="n">
        <v>5.56</v>
      </c>
      <c r="F15" s="0" t="n">
        <v>27.931</v>
      </c>
      <c r="G15" s="0" t="n">
        <v>15.42</v>
      </c>
      <c r="H15" s="0" t="n">
        <v>12.548</v>
      </c>
      <c r="I15" s="0" t="n">
        <v>11.924</v>
      </c>
      <c r="J15" s="0" t="n">
        <v>-0.05</v>
      </c>
    </row>
    <row r="16" customFormat="false" ht="15" hidden="false" customHeight="false" outlineLevel="0" collapsed="false">
      <c r="A16" s="0" t="s">
        <v>465</v>
      </c>
      <c r="B16" s="0" t="n">
        <v>3.8</v>
      </c>
      <c r="C16" s="0" t="s">
        <v>303</v>
      </c>
      <c r="D16" s="0" t="n">
        <v>9.914</v>
      </c>
      <c r="E16" s="0" t="n">
        <v>6.05</v>
      </c>
      <c r="F16" s="0" t="n">
        <v>26.222</v>
      </c>
      <c r="G16" s="0" t="n">
        <v>18.017</v>
      </c>
      <c r="H16" s="0" t="n">
        <v>12.853</v>
      </c>
      <c r="I16" s="0" t="n">
        <v>12.875</v>
      </c>
      <c r="J16" s="0" t="n">
        <v>0.002</v>
      </c>
    </row>
    <row r="17" customFormat="false" ht="15" hidden="false" customHeight="false" outlineLevel="0" collapsed="false">
      <c r="A17" s="0" t="s">
        <v>466</v>
      </c>
      <c r="B17" s="0" t="n">
        <v>3.8</v>
      </c>
      <c r="C17" s="0" t="s">
        <v>452</v>
      </c>
      <c r="D17" s="0" t="n">
        <v>9.871</v>
      </c>
      <c r="E17" s="0" t="n">
        <v>5.88</v>
      </c>
      <c r="F17" s="0" t="n">
        <v>28.119</v>
      </c>
      <c r="G17" s="0" t="n">
        <v>17.302</v>
      </c>
      <c r="H17" s="0" t="n">
        <v>3.679</v>
      </c>
      <c r="I17" s="0" t="n">
        <v>4.391</v>
      </c>
      <c r="J17" s="0" t="n">
        <v>0.194</v>
      </c>
    </row>
    <row r="18" customFormat="false" ht="15" hidden="false" customHeight="false" outlineLevel="0" collapsed="false">
      <c r="A18" s="0" t="s">
        <v>467</v>
      </c>
      <c r="B18" s="0" t="n">
        <v>3.8</v>
      </c>
      <c r="C18" s="0" t="s">
        <v>454</v>
      </c>
      <c r="D18" s="0" t="n">
        <v>10.002</v>
      </c>
      <c r="E18" s="0" t="n">
        <v>6</v>
      </c>
      <c r="F18" s="0" t="n">
        <v>27.958</v>
      </c>
      <c r="G18" s="0" t="n">
        <v>17.492</v>
      </c>
      <c r="H18" s="0" t="n">
        <v>9.165</v>
      </c>
      <c r="I18" s="0" t="n">
        <v>9.095</v>
      </c>
      <c r="J18" s="0" t="n">
        <v>-0.008</v>
      </c>
    </row>
    <row r="19" customFormat="false" ht="15" hidden="false" customHeight="false" outlineLevel="0" collapsed="false">
      <c r="A19" s="0" t="s">
        <v>468</v>
      </c>
      <c r="B19" s="0" t="n">
        <v>3.8</v>
      </c>
      <c r="C19" s="0" t="s">
        <v>454</v>
      </c>
      <c r="D19" s="0" t="n">
        <v>9.975</v>
      </c>
      <c r="E19" s="0" t="n">
        <v>5.81</v>
      </c>
      <c r="F19" s="0" t="n">
        <v>26.263</v>
      </c>
      <c r="G19" s="0" t="n">
        <v>16.744</v>
      </c>
      <c r="H19" s="0" t="n">
        <v>8.939</v>
      </c>
      <c r="I19" s="0" t="n">
        <v>8.802</v>
      </c>
      <c r="J19" s="0" t="n">
        <v>-0.015</v>
      </c>
    </row>
    <row r="20" customFormat="false" ht="15" hidden="false" customHeight="false" outlineLevel="0" collapsed="false">
      <c r="A20" s="0" t="s">
        <v>469</v>
      </c>
      <c r="B20" s="0" t="n">
        <v>3.8</v>
      </c>
      <c r="C20" s="0" t="s">
        <v>303</v>
      </c>
      <c r="D20" s="0" t="n">
        <v>0.965</v>
      </c>
      <c r="E20" s="0" t="n">
        <v>7.26</v>
      </c>
      <c r="F20" s="0" t="n">
        <v>28.101</v>
      </c>
      <c r="G20" s="0" t="n">
        <v>19.383</v>
      </c>
      <c r="H20" s="0" t="n">
        <v>3.305</v>
      </c>
      <c r="I20" s="0" t="n">
        <v>3.537</v>
      </c>
      <c r="J20" s="0" t="n">
        <v>0.07</v>
      </c>
    </row>
    <row r="21" customFormat="false" ht="15" hidden="false" customHeight="false" outlineLevel="0" collapsed="false">
      <c r="A21" s="0" t="s">
        <v>470</v>
      </c>
      <c r="B21" s="0" t="n">
        <v>3.8</v>
      </c>
      <c r="C21" s="0" t="s">
        <v>454</v>
      </c>
      <c r="D21" s="0" t="n">
        <v>0.961</v>
      </c>
      <c r="E21" s="0" t="n">
        <v>7.28</v>
      </c>
      <c r="F21" s="0" t="n">
        <v>28.888</v>
      </c>
      <c r="G21" s="0" t="n">
        <v>19.453</v>
      </c>
      <c r="H21" s="0" t="n">
        <v>3.342</v>
      </c>
      <c r="I21" s="0" t="n">
        <v>3.59</v>
      </c>
      <c r="J21" s="0" t="n">
        <v>0.074</v>
      </c>
    </row>
    <row r="22" customFormat="false" ht="15" hidden="false" customHeight="false" outlineLevel="0" collapsed="false">
      <c r="A22" s="0" t="s">
        <v>471</v>
      </c>
      <c r="B22" s="0" t="n">
        <v>3.8</v>
      </c>
      <c r="C22" s="0" t="s">
        <v>303</v>
      </c>
      <c r="D22" s="0" t="n">
        <v>2.931</v>
      </c>
      <c r="E22" s="0" t="n">
        <v>6.82</v>
      </c>
      <c r="F22" s="0" t="n">
        <v>26.972</v>
      </c>
      <c r="G22" s="0" t="n">
        <v>17.572</v>
      </c>
      <c r="H22" s="0" t="n">
        <v>5.718</v>
      </c>
      <c r="I22" s="0" t="n">
        <v>5.744</v>
      </c>
      <c r="J22" s="0" t="n">
        <v>0.004</v>
      </c>
    </row>
    <row r="23" customFormat="false" ht="15" hidden="false" customHeight="false" outlineLevel="0" collapsed="false">
      <c r="A23" s="0" t="s">
        <v>472</v>
      </c>
      <c r="B23" s="0" t="n">
        <v>3.8</v>
      </c>
      <c r="C23" s="0" t="s">
        <v>303</v>
      </c>
      <c r="D23" s="0" t="n">
        <v>2.959</v>
      </c>
      <c r="E23" s="0" t="n">
        <v>6.76</v>
      </c>
      <c r="F23" s="0" t="n">
        <v>26.952</v>
      </c>
      <c r="G23" s="0" t="n">
        <v>17.407</v>
      </c>
      <c r="H23" s="0" t="n">
        <v>5.722</v>
      </c>
      <c r="I23" s="0" t="n">
        <v>5.715</v>
      </c>
      <c r="J23" s="0" t="n">
        <v>-0.001</v>
      </c>
    </row>
    <row r="24" customFormat="false" ht="15" hidden="false" customHeight="false" outlineLevel="0" collapsed="false">
      <c r="A24" s="0" t="s">
        <v>473</v>
      </c>
      <c r="B24" s="0" t="n">
        <v>3.8</v>
      </c>
      <c r="C24" s="0" t="s">
        <v>454</v>
      </c>
      <c r="D24" s="0" t="n">
        <v>3.003</v>
      </c>
      <c r="E24" s="0" t="n">
        <v>6.66</v>
      </c>
      <c r="F24" s="0" t="n">
        <v>26.642</v>
      </c>
      <c r="G24" s="0" t="n">
        <v>17.151</v>
      </c>
      <c r="H24" s="0" t="n">
        <v>5.671</v>
      </c>
      <c r="I24" s="0" t="n">
        <v>5.645</v>
      </c>
      <c r="J24" s="0" t="n">
        <v>-0.005</v>
      </c>
    </row>
    <row r="25" customFormat="false" ht="15" hidden="false" customHeight="false" outlineLevel="0" collapsed="false">
      <c r="A25" s="0" t="s">
        <v>474</v>
      </c>
      <c r="B25" s="0" t="n">
        <v>3.8</v>
      </c>
      <c r="C25" s="0" t="s">
        <v>454</v>
      </c>
      <c r="D25" s="0" t="n">
        <v>3.001</v>
      </c>
      <c r="E25" s="0" t="n">
        <v>6.67</v>
      </c>
      <c r="F25" s="0" t="n">
        <v>27.997</v>
      </c>
      <c r="G25" s="0" t="n">
        <v>17.163</v>
      </c>
      <c r="H25" s="0" t="n">
        <v>5.783</v>
      </c>
      <c r="I25" s="0" t="n">
        <v>5.791</v>
      </c>
      <c r="J25" s="0" t="n">
        <v>0.001</v>
      </c>
    </row>
    <row r="26" customFormat="false" ht="15" hidden="false" customHeight="false" outlineLevel="0" collapsed="false">
      <c r="A26" s="0" t="s">
        <v>475</v>
      </c>
      <c r="B26" s="0" t="n">
        <v>3.8</v>
      </c>
      <c r="C26" s="0" t="s">
        <v>303</v>
      </c>
      <c r="D26" s="0" t="n">
        <v>4.991</v>
      </c>
      <c r="E26" s="0" t="n">
        <v>6.41</v>
      </c>
      <c r="F26" s="0" t="n">
        <v>28.022</v>
      </c>
      <c r="G26" s="0" t="n">
        <v>17.696</v>
      </c>
      <c r="H26" s="0" t="n">
        <v>8.054</v>
      </c>
      <c r="I26" s="0" t="n">
        <v>8.059</v>
      </c>
      <c r="J26" s="0" t="n">
        <v>0.001</v>
      </c>
    </row>
    <row r="27" customFormat="false" ht="15" hidden="false" customHeight="false" outlineLevel="0" collapsed="false">
      <c r="A27" s="0" t="s">
        <v>476</v>
      </c>
      <c r="B27" s="0" t="n">
        <v>3.8</v>
      </c>
      <c r="C27" s="0" t="s">
        <v>454</v>
      </c>
      <c r="D27" s="0" t="n">
        <v>5.018</v>
      </c>
      <c r="E27" s="0" t="n">
        <v>6.18</v>
      </c>
      <c r="F27" s="0" t="n">
        <v>28.625</v>
      </c>
      <c r="G27" s="0" t="n">
        <v>16.767</v>
      </c>
      <c r="H27" s="0" t="n">
        <v>7.94</v>
      </c>
      <c r="I27" s="0" t="n">
        <v>7.807</v>
      </c>
      <c r="J27" s="0" t="n">
        <v>-0.017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277</v>
      </c>
      <c r="B1" s="1" t="s">
        <v>162</v>
      </c>
      <c r="C1" s="1" t="s">
        <v>477</v>
      </c>
      <c r="D1" s="1" t="s">
        <v>308</v>
      </c>
      <c r="E1" s="1" t="s">
        <v>309</v>
      </c>
      <c r="F1" s="1" t="s">
        <v>478</v>
      </c>
      <c r="G1" s="1" t="s">
        <v>479</v>
      </c>
      <c r="H1" s="1" t="s">
        <v>480</v>
      </c>
      <c r="I1" s="1" t="s">
        <v>481</v>
      </c>
      <c r="J1" s="1" t="s">
        <v>482</v>
      </c>
      <c r="K1" s="1" t="s">
        <v>483</v>
      </c>
      <c r="L1" s="1" t="s">
        <v>151</v>
      </c>
      <c r="M1" s="1" t="s">
        <v>484</v>
      </c>
      <c r="N1" s="1" t="s">
        <v>485</v>
      </c>
      <c r="O1" s="1" t="s">
        <v>486</v>
      </c>
      <c r="P1" s="1" t="s">
        <v>487</v>
      </c>
      <c r="Q1" s="1" t="s">
        <v>488</v>
      </c>
      <c r="R1" s="1" t="s">
        <v>489</v>
      </c>
      <c r="S1" s="1" t="s">
        <v>490</v>
      </c>
      <c r="T1" s="1" t="s">
        <v>491</v>
      </c>
      <c r="U1" s="1" t="s">
        <v>347</v>
      </c>
    </row>
    <row r="2" customFormat="false" ht="15" hidden="false" customHeight="false" outlineLevel="0" collapsed="false">
      <c r="A2" s="0" t="s">
        <v>237</v>
      </c>
      <c r="B2" s="0" t="s">
        <v>238</v>
      </c>
      <c r="C2" s="0" t="s">
        <v>492</v>
      </c>
      <c r="D2" s="0" t="n">
        <v>2026</v>
      </c>
      <c r="E2" s="0" t="n">
        <v>1</v>
      </c>
      <c r="F2" s="0" t="n">
        <v>1.583</v>
      </c>
      <c r="G2" s="0" t="n">
        <v>0.232</v>
      </c>
      <c r="H2" s="0" t="n">
        <v>0.343</v>
      </c>
      <c r="I2" s="0" t="n">
        <v>2.158</v>
      </c>
      <c r="J2" s="0" t="n">
        <v>2.158</v>
      </c>
      <c r="K2" s="0" t="n">
        <v>0.537</v>
      </c>
      <c r="L2" s="0" t="n">
        <v>0.03</v>
      </c>
      <c r="M2" s="0" t="n">
        <v>2.726</v>
      </c>
      <c r="N2" s="0" t="n">
        <v>2.726</v>
      </c>
      <c r="O2" s="0" t="n">
        <v>4.543</v>
      </c>
      <c r="P2" s="0" t="n">
        <v>5.451</v>
      </c>
      <c r="Q2" s="0" t="n">
        <v>6.814</v>
      </c>
      <c r="R2" s="0" t="n">
        <v>-0.363</v>
      </c>
      <c r="S2" s="0" t="n">
        <v>-0.608</v>
      </c>
      <c r="T2" s="0" t="s">
        <v>493</v>
      </c>
      <c r="U2" s="0" t="s">
        <v>494</v>
      </c>
    </row>
    <row r="3" customFormat="false" ht="15" hidden="false" customHeight="false" outlineLevel="0" collapsed="false">
      <c r="A3" s="0" t="s">
        <v>237</v>
      </c>
      <c r="B3" s="0" t="s">
        <v>238</v>
      </c>
      <c r="C3" s="0" t="s">
        <v>492</v>
      </c>
      <c r="D3" s="0" t="n">
        <v>2026</v>
      </c>
      <c r="E3" s="0" t="n">
        <v>3</v>
      </c>
      <c r="F3" s="0" t="n">
        <v>1.583</v>
      </c>
      <c r="G3" s="0" t="n">
        <v>0.261</v>
      </c>
      <c r="H3" s="0" t="n">
        <v>0.343</v>
      </c>
      <c r="I3" s="0" t="n">
        <v>2.187</v>
      </c>
      <c r="J3" s="0" t="n">
        <v>6.562</v>
      </c>
      <c r="K3" s="0" t="n">
        <v>0.466</v>
      </c>
      <c r="L3" s="0" t="n">
        <v>0.03</v>
      </c>
      <c r="M3" s="0" t="n">
        <v>2.683</v>
      </c>
      <c r="N3" s="0" t="n">
        <v>8.049</v>
      </c>
      <c r="O3" s="0" t="n">
        <v>4.472</v>
      </c>
      <c r="P3" s="0" t="n">
        <v>5.366</v>
      </c>
      <c r="Q3" s="0" t="n">
        <v>6.708</v>
      </c>
      <c r="R3" s="0" t="n">
        <v>-0.342</v>
      </c>
      <c r="S3" s="0" t="n">
        <v>-0.583</v>
      </c>
      <c r="T3" s="0" t="s">
        <v>493</v>
      </c>
      <c r="U3" s="0" t="s">
        <v>494</v>
      </c>
    </row>
    <row r="4" customFormat="false" ht="15" hidden="false" customHeight="false" outlineLevel="0" collapsed="false">
      <c r="A4" s="0" t="s">
        <v>237</v>
      </c>
      <c r="B4" s="0" t="s">
        <v>238</v>
      </c>
      <c r="C4" s="0" t="s">
        <v>492</v>
      </c>
      <c r="D4" s="0" t="n">
        <v>2026</v>
      </c>
      <c r="E4" s="0" t="n">
        <v>5</v>
      </c>
      <c r="F4" s="0" t="n">
        <v>1.583</v>
      </c>
      <c r="G4" s="0" t="n">
        <v>0.29</v>
      </c>
      <c r="H4" s="0" t="n">
        <v>0.343</v>
      </c>
      <c r="I4" s="0" t="n">
        <v>2.216</v>
      </c>
      <c r="J4" s="0" t="n">
        <v>11.082</v>
      </c>
      <c r="K4" s="0" t="n">
        <v>0.451</v>
      </c>
      <c r="L4" s="0" t="n">
        <v>0.03</v>
      </c>
      <c r="M4" s="0" t="n">
        <v>2.698</v>
      </c>
      <c r="N4" s="0" t="n">
        <v>13.489</v>
      </c>
      <c r="O4" s="0" t="n">
        <v>4.496</v>
      </c>
      <c r="P4" s="0" t="n">
        <v>5.396</v>
      </c>
      <c r="Q4" s="0" t="n">
        <v>6.745</v>
      </c>
      <c r="R4" s="0" t="n">
        <v>-0.349</v>
      </c>
      <c r="S4" s="0" t="n">
        <v>-0.592</v>
      </c>
      <c r="T4" s="0" t="s">
        <v>493</v>
      </c>
      <c r="U4" s="0" t="s">
        <v>494</v>
      </c>
    </row>
    <row r="5" customFormat="false" ht="15" hidden="false" customHeight="false" outlineLevel="0" collapsed="false">
      <c r="A5" s="0" t="s">
        <v>237</v>
      </c>
      <c r="B5" s="0" t="s">
        <v>238</v>
      </c>
      <c r="C5" s="0" t="s">
        <v>492</v>
      </c>
      <c r="D5" s="0" t="n">
        <v>2026</v>
      </c>
      <c r="E5" s="0" t="n">
        <v>10</v>
      </c>
      <c r="F5" s="0" t="n">
        <v>1.583</v>
      </c>
      <c r="G5" s="0" t="n">
        <v>0.363</v>
      </c>
      <c r="H5" s="0" t="n">
        <v>0.343</v>
      </c>
      <c r="I5" s="0" t="n">
        <v>2.289</v>
      </c>
      <c r="J5" s="0" t="n">
        <v>22.891</v>
      </c>
      <c r="K5" s="0" t="n">
        <v>0.441</v>
      </c>
      <c r="L5" s="0" t="n">
        <v>0.03</v>
      </c>
      <c r="M5" s="0" t="n">
        <v>2.76</v>
      </c>
      <c r="N5" s="0" t="n">
        <v>27.599</v>
      </c>
      <c r="O5" s="0" t="n">
        <v>4.6</v>
      </c>
      <c r="P5" s="0" t="n">
        <v>5.52</v>
      </c>
      <c r="Q5" s="0" t="n">
        <v>6.9</v>
      </c>
      <c r="R5" s="0" t="n">
        <v>-0.38</v>
      </c>
      <c r="S5" s="0" t="n">
        <v>-0.628</v>
      </c>
      <c r="T5" s="0" t="s">
        <v>493</v>
      </c>
      <c r="U5" s="0" t="s">
        <v>494</v>
      </c>
    </row>
    <row r="6" customFormat="false" ht="15" hidden="false" customHeight="false" outlineLevel="0" collapsed="false">
      <c r="A6" s="0" t="s">
        <v>240</v>
      </c>
      <c r="B6" s="0" t="s">
        <v>241</v>
      </c>
      <c r="C6" s="0" t="s">
        <v>495</v>
      </c>
      <c r="D6" s="0" t="n">
        <v>2026</v>
      </c>
      <c r="E6" s="0" t="n">
        <v>1</v>
      </c>
      <c r="F6" s="0" t="n">
        <v>0.751</v>
      </c>
      <c r="G6" s="0" t="n">
        <v>0.232</v>
      </c>
      <c r="H6" s="0" t="n">
        <v>0.343</v>
      </c>
      <c r="I6" s="0" t="n">
        <v>1.326</v>
      </c>
      <c r="J6" s="0" t="n">
        <v>1.326</v>
      </c>
      <c r="K6" s="0" t="n">
        <v>0.537</v>
      </c>
      <c r="L6" s="0" t="n">
        <v>0.03</v>
      </c>
      <c r="M6" s="0" t="n">
        <v>1.893</v>
      </c>
      <c r="N6" s="0" t="n">
        <v>1.893</v>
      </c>
      <c r="O6" s="0" t="n">
        <v>3.156</v>
      </c>
      <c r="P6" s="0" t="n">
        <v>3.787</v>
      </c>
      <c r="Q6" s="0" t="n">
        <v>4.733</v>
      </c>
      <c r="R6" s="0" t="n">
        <v>0.053</v>
      </c>
      <c r="S6" s="0" t="n">
        <v>-0.117</v>
      </c>
      <c r="T6" s="0" t="s">
        <v>496</v>
      </c>
      <c r="U6" s="0" t="s">
        <v>497</v>
      </c>
    </row>
    <row r="7" customFormat="false" ht="15" hidden="false" customHeight="false" outlineLevel="0" collapsed="false">
      <c r="A7" s="0" t="s">
        <v>240</v>
      </c>
      <c r="B7" s="0" t="s">
        <v>241</v>
      </c>
      <c r="C7" s="0" t="s">
        <v>495</v>
      </c>
      <c r="D7" s="0" t="n">
        <v>2026</v>
      </c>
      <c r="E7" s="0" t="n">
        <v>3</v>
      </c>
      <c r="F7" s="0" t="n">
        <v>0.751</v>
      </c>
      <c r="G7" s="0" t="n">
        <v>0.261</v>
      </c>
      <c r="H7" s="0" t="n">
        <v>0.343</v>
      </c>
      <c r="I7" s="0" t="n">
        <v>1.355</v>
      </c>
      <c r="J7" s="0" t="n">
        <v>4.065</v>
      </c>
      <c r="K7" s="0" t="n">
        <v>0.466</v>
      </c>
      <c r="L7" s="0" t="n">
        <v>0.03</v>
      </c>
      <c r="M7" s="0" t="n">
        <v>1.851</v>
      </c>
      <c r="N7" s="0" t="n">
        <v>5.552</v>
      </c>
      <c r="O7" s="0" t="n">
        <v>3.085</v>
      </c>
      <c r="P7" s="0" t="n">
        <v>3.702</v>
      </c>
      <c r="Q7" s="0" t="n">
        <v>4.627</v>
      </c>
      <c r="R7" s="0" t="n">
        <v>0.075</v>
      </c>
      <c r="S7" s="0" t="n">
        <v>-0.092</v>
      </c>
      <c r="T7" s="0" t="s">
        <v>496</v>
      </c>
      <c r="U7" s="0" t="s">
        <v>497</v>
      </c>
    </row>
    <row r="8" customFormat="false" ht="15" hidden="false" customHeight="false" outlineLevel="0" collapsed="false">
      <c r="A8" s="0" t="s">
        <v>240</v>
      </c>
      <c r="B8" s="0" t="s">
        <v>241</v>
      </c>
      <c r="C8" s="0" t="s">
        <v>495</v>
      </c>
      <c r="D8" s="0" t="n">
        <v>2026</v>
      </c>
      <c r="E8" s="0" t="n">
        <v>5</v>
      </c>
      <c r="F8" s="0" t="n">
        <v>0.751</v>
      </c>
      <c r="G8" s="0" t="n">
        <v>0.29</v>
      </c>
      <c r="H8" s="0" t="n">
        <v>0.343</v>
      </c>
      <c r="I8" s="0" t="n">
        <v>1.384</v>
      </c>
      <c r="J8" s="0" t="n">
        <v>6.921</v>
      </c>
      <c r="K8" s="0" t="n">
        <v>0.451</v>
      </c>
      <c r="L8" s="0" t="n">
        <v>0.03</v>
      </c>
      <c r="M8" s="0" t="n">
        <v>1.866</v>
      </c>
      <c r="N8" s="0" t="n">
        <v>9.328</v>
      </c>
      <c r="O8" s="0" t="n">
        <v>3.109</v>
      </c>
      <c r="P8" s="0" t="n">
        <v>3.731</v>
      </c>
      <c r="Q8" s="0" t="n">
        <v>4.664</v>
      </c>
      <c r="R8" s="0" t="n">
        <v>0.067</v>
      </c>
      <c r="S8" s="0" t="n">
        <v>-0.101</v>
      </c>
      <c r="T8" s="0" t="s">
        <v>496</v>
      </c>
      <c r="U8" s="0" t="s">
        <v>497</v>
      </c>
    </row>
    <row r="9" customFormat="false" ht="15" hidden="false" customHeight="false" outlineLevel="0" collapsed="false">
      <c r="A9" s="0" t="s">
        <v>240</v>
      </c>
      <c r="B9" s="0" t="s">
        <v>241</v>
      </c>
      <c r="C9" s="0" t="s">
        <v>495</v>
      </c>
      <c r="D9" s="0" t="n">
        <v>2026</v>
      </c>
      <c r="E9" s="0" t="n">
        <v>10</v>
      </c>
      <c r="F9" s="0" t="n">
        <v>0.751</v>
      </c>
      <c r="G9" s="0" t="n">
        <v>0.363</v>
      </c>
      <c r="H9" s="0" t="n">
        <v>0.343</v>
      </c>
      <c r="I9" s="0" t="n">
        <v>1.457</v>
      </c>
      <c r="J9" s="0" t="n">
        <v>14.569</v>
      </c>
      <c r="K9" s="0" t="n">
        <v>0.441</v>
      </c>
      <c r="L9" s="0" t="n">
        <v>0.03</v>
      </c>
      <c r="M9" s="0" t="n">
        <v>1.928</v>
      </c>
      <c r="N9" s="0" t="n">
        <v>19.277</v>
      </c>
      <c r="O9" s="0" t="n">
        <v>3.213</v>
      </c>
      <c r="P9" s="0" t="n">
        <v>3.855</v>
      </c>
      <c r="Q9" s="0" t="n">
        <v>4.819</v>
      </c>
      <c r="R9" s="0" t="n">
        <v>0.036</v>
      </c>
      <c r="S9" s="0" t="n">
        <v>-0.137</v>
      </c>
      <c r="T9" s="0" t="s">
        <v>496</v>
      </c>
      <c r="U9" s="0" t="s">
        <v>497</v>
      </c>
    </row>
    <row r="10" customFormat="false" ht="15" hidden="false" customHeight="false" outlineLevel="0" collapsed="false">
      <c r="A10" s="0" t="s">
        <v>243</v>
      </c>
      <c r="B10" s="0" t="s">
        <v>244</v>
      </c>
      <c r="C10" s="0" t="s">
        <v>492</v>
      </c>
      <c r="D10" s="0" t="n">
        <v>2026</v>
      </c>
      <c r="E10" s="0" t="n">
        <v>1</v>
      </c>
      <c r="F10" s="0" t="n">
        <v>1.583</v>
      </c>
      <c r="G10" s="0" t="n">
        <v>0.229</v>
      </c>
      <c r="H10" s="0" t="n">
        <v>0.862</v>
      </c>
      <c r="I10" s="0" t="n">
        <v>2.674</v>
      </c>
      <c r="J10" s="0" t="n">
        <v>2.674</v>
      </c>
      <c r="K10" s="0" t="n">
        <v>0.537</v>
      </c>
      <c r="L10" s="0" t="n">
        <v>0.03</v>
      </c>
      <c r="M10" s="0" t="n">
        <v>3.242</v>
      </c>
      <c r="N10" s="0" t="n">
        <v>3.242</v>
      </c>
      <c r="O10" s="0" t="n">
        <v>5.403</v>
      </c>
      <c r="P10" s="0" t="n">
        <v>6.483</v>
      </c>
      <c r="Q10" s="0" t="n">
        <v>8.104</v>
      </c>
      <c r="R10" s="0" t="n">
        <v>-0.621</v>
      </c>
      <c r="S10" s="0" t="n">
        <v>-0.913</v>
      </c>
      <c r="T10" s="0" t="s">
        <v>498</v>
      </c>
      <c r="U10" s="0" t="s">
        <v>499</v>
      </c>
    </row>
    <row r="11" customFormat="false" ht="15" hidden="false" customHeight="false" outlineLevel="0" collapsed="false">
      <c r="A11" s="0" t="s">
        <v>243</v>
      </c>
      <c r="B11" s="0" t="s">
        <v>244</v>
      </c>
      <c r="C11" s="0" t="s">
        <v>492</v>
      </c>
      <c r="D11" s="0" t="n">
        <v>2026</v>
      </c>
      <c r="E11" s="0" t="n">
        <v>3</v>
      </c>
      <c r="F11" s="0" t="n">
        <v>1.583</v>
      </c>
      <c r="G11" s="0" t="n">
        <v>0.258</v>
      </c>
      <c r="H11" s="0" t="n">
        <v>0.862</v>
      </c>
      <c r="I11" s="0" t="n">
        <v>2.703</v>
      </c>
      <c r="J11" s="0" t="n">
        <v>8.11</v>
      </c>
      <c r="K11" s="0" t="n">
        <v>0.466</v>
      </c>
      <c r="L11" s="0" t="n">
        <v>0.03</v>
      </c>
      <c r="M11" s="0" t="n">
        <v>3.199</v>
      </c>
      <c r="N11" s="0" t="n">
        <v>9.598</v>
      </c>
      <c r="O11" s="0" t="n">
        <v>5.332</v>
      </c>
      <c r="P11" s="0" t="n">
        <v>6.398</v>
      </c>
      <c r="Q11" s="0" t="n">
        <v>7.998</v>
      </c>
      <c r="R11" s="0" t="n">
        <v>-0.6</v>
      </c>
      <c r="S11" s="0" t="n">
        <v>-0.888</v>
      </c>
      <c r="T11" s="0" t="s">
        <v>498</v>
      </c>
      <c r="U11" s="0" t="s">
        <v>499</v>
      </c>
    </row>
    <row r="12" customFormat="false" ht="15" hidden="false" customHeight="false" outlineLevel="0" collapsed="false">
      <c r="A12" s="0" t="s">
        <v>243</v>
      </c>
      <c r="B12" s="0" t="s">
        <v>244</v>
      </c>
      <c r="C12" s="0" t="s">
        <v>492</v>
      </c>
      <c r="D12" s="0" t="n">
        <v>2026</v>
      </c>
      <c r="E12" s="0" t="n">
        <v>5</v>
      </c>
      <c r="F12" s="0" t="n">
        <v>1.583</v>
      </c>
      <c r="G12" s="0" t="n">
        <v>0.288</v>
      </c>
      <c r="H12" s="0" t="n">
        <v>0.862</v>
      </c>
      <c r="I12" s="0" t="n">
        <v>2.733</v>
      </c>
      <c r="J12" s="0" t="n">
        <v>13.663</v>
      </c>
      <c r="K12" s="0" t="n">
        <v>0.451</v>
      </c>
      <c r="L12" s="0" t="n">
        <v>0.03</v>
      </c>
      <c r="M12" s="0" t="n">
        <v>3.214</v>
      </c>
      <c r="N12" s="0" t="n">
        <v>16.071</v>
      </c>
      <c r="O12" s="0" t="n">
        <v>5.357</v>
      </c>
      <c r="P12" s="0" t="n">
        <v>6.428</v>
      </c>
      <c r="Q12" s="0" t="n">
        <v>8.035</v>
      </c>
      <c r="R12" s="0" t="n">
        <v>-0.607</v>
      </c>
      <c r="S12" s="0" t="n">
        <v>-0.896</v>
      </c>
      <c r="T12" s="0" t="s">
        <v>498</v>
      </c>
      <c r="U12" s="0" t="s">
        <v>499</v>
      </c>
    </row>
    <row r="13" customFormat="false" ht="15" hidden="false" customHeight="false" outlineLevel="0" collapsed="false">
      <c r="A13" s="0" t="s">
        <v>243</v>
      </c>
      <c r="B13" s="0" t="s">
        <v>244</v>
      </c>
      <c r="C13" s="0" t="s">
        <v>492</v>
      </c>
      <c r="D13" s="0" t="n">
        <v>2026</v>
      </c>
      <c r="E13" s="0" t="n">
        <v>10</v>
      </c>
      <c r="F13" s="0" t="n">
        <v>1.583</v>
      </c>
      <c r="G13" s="0" t="n">
        <v>0.361</v>
      </c>
      <c r="H13" s="0" t="n">
        <v>0.862</v>
      </c>
      <c r="I13" s="0" t="n">
        <v>2.806</v>
      </c>
      <c r="J13" s="0" t="n">
        <v>28.059</v>
      </c>
      <c r="K13" s="0" t="n">
        <v>0.441</v>
      </c>
      <c r="L13" s="0" t="n">
        <v>0.03</v>
      </c>
      <c r="M13" s="0" t="n">
        <v>3.277</v>
      </c>
      <c r="N13" s="0" t="n">
        <v>32.766</v>
      </c>
      <c r="O13" s="0" t="n">
        <v>5.461</v>
      </c>
      <c r="P13" s="0" t="n">
        <v>6.553</v>
      </c>
      <c r="Q13" s="0" t="n">
        <v>8.192</v>
      </c>
      <c r="R13" s="0" t="n">
        <v>-0.638</v>
      </c>
      <c r="S13" s="0" t="n">
        <v>-0.933</v>
      </c>
      <c r="T13" s="0" t="s">
        <v>498</v>
      </c>
      <c r="U13" s="0" t="s">
        <v>499</v>
      </c>
    </row>
    <row r="14" customFormat="false" ht="15" hidden="false" customHeight="false" outlineLevel="0" collapsed="false">
      <c r="A14" s="0" t="s">
        <v>245</v>
      </c>
      <c r="B14" s="0" t="s">
        <v>246</v>
      </c>
      <c r="C14" s="0" t="s">
        <v>492</v>
      </c>
      <c r="D14" s="0" t="n">
        <v>2026</v>
      </c>
      <c r="E14" s="0" t="n">
        <v>1</v>
      </c>
      <c r="F14" s="0" t="n">
        <v>1.583</v>
      </c>
      <c r="G14" s="0" t="n">
        <v>0.216</v>
      </c>
      <c r="H14" s="0" t="n">
        <v>0.862</v>
      </c>
      <c r="I14" s="0" t="n">
        <v>2.661</v>
      </c>
      <c r="J14" s="0" t="n">
        <v>2.661</v>
      </c>
      <c r="K14" s="0" t="n">
        <v>0.537</v>
      </c>
      <c r="L14" s="0" t="n">
        <v>0.03</v>
      </c>
      <c r="M14" s="0" t="n">
        <v>3.229</v>
      </c>
      <c r="N14" s="0" t="n">
        <v>3.229</v>
      </c>
      <c r="O14" s="0" t="n">
        <v>5.381</v>
      </c>
      <c r="P14" s="0" t="n">
        <v>6.457</v>
      </c>
      <c r="Q14" s="0" t="n">
        <v>8.072</v>
      </c>
      <c r="R14" s="0" t="n">
        <v>-0.614</v>
      </c>
      <c r="S14" s="0" t="n">
        <v>-0.905</v>
      </c>
      <c r="T14" s="0" t="s">
        <v>500</v>
      </c>
      <c r="U14" s="0" t="s">
        <v>494</v>
      </c>
    </row>
    <row r="15" customFormat="false" ht="15" hidden="false" customHeight="false" outlineLevel="0" collapsed="false">
      <c r="A15" s="0" t="s">
        <v>245</v>
      </c>
      <c r="B15" s="0" t="s">
        <v>246</v>
      </c>
      <c r="C15" s="0" t="s">
        <v>492</v>
      </c>
      <c r="D15" s="0" t="n">
        <v>2026</v>
      </c>
      <c r="E15" s="0" t="n">
        <v>3</v>
      </c>
      <c r="F15" s="0" t="n">
        <v>1.583</v>
      </c>
      <c r="G15" s="0" t="n">
        <v>0.25</v>
      </c>
      <c r="H15" s="0" t="n">
        <v>0.862</v>
      </c>
      <c r="I15" s="0" t="n">
        <v>2.695</v>
      </c>
      <c r="J15" s="0" t="n">
        <v>8.086</v>
      </c>
      <c r="K15" s="0" t="n">
        <v>0.466</v>
      </c>
      <c r="L15" s="0" t="n">
        <v>0.03</v>
      </c>
      <c r="M15" s="0" t="n">
        <v>3.191</v>
      </c>
      <c r="N15" s="0" t="n">
        <v>9.573</v>
      </c>
      <c r="O15" s="0" t="n">
        <v>5.318</v>
      </c>
      <c r="P15" s="0" t="n">
        <v>6.382</v>
      </c>
      <c r="Q15" s="0" t="n">
        <v>7.978</v>
      </c>
      <c r="R15" s="0" t="n">
        <v>-0.596</v>
      </c>
      <c r="S15" s="0" t="n">
        <v>-0.883</v>
      </c>
      <c r="T15" s="0" t="s">
        <v>500</v>
      </c>
      <c r="U15" s="0" t="s">
        <v>494</v>
      </c>
    </row>
    <row r="16" customFormat="false" ht="15" hidden="false" customHeight="false" outlineLevel="0" collapsed="false">
      <c r="A16" s="0" t="s">
        <v>245</v>
      </c>
      <c r="B16" s="0" t="s">
        <v>246</v>
      </c>
      <c r="C16" s="0" t="s">
        <v>492</v>
      </c>
      <c r="D16" s="0" t="n">
        <v>2026</v>
      </c>
      <c r="E16" s="0" t="n">
        <v>5</v>
      </c>
      <c r="F16" s="0" t="n">
        <v>1.583</v>
      </c>
      <c r="G16" s="0" t="n">
        <v>0.284</v>
      </c>
      <c r="H16" s="0" t="n">
        <v>0.862</v>
      </c>
      <c r="I16" s="0" t="n">
        <v>2.729</v>
      </c>
      <c r="J16" s="0" t="n">
        <v>13.646</v>
      </c>
      <c r="K16" s="0" t="n">
        <v>0.451</v>
      </c>
      <c r="L16" s="0" t="n">
        <v>0.03</v>
      </c>
      <c r="M16" s="0" t="n">
        <v>3.211</v>
      </c>
      <c r="N16" s="0" t="n">
        <v>16.053</v>
      </c>
      <c r="O16" s="0" t="n">
        <v>5.351</v>
      </c>
      <c r="P16" s="0" t="n">
        <v>6.421</v>
      </c>
      <c r="Q16" s="0" t="n">
        <v>8.027</v>
      </c>
      <c r="R16" s="0" t="n">
        <v>-0.605</v>
      </c>
      <c r="S16" s="0" t="n">
        <v>-0.894</v>
      </c>
      <c r="T16" s="0" t="s">
        <v>500</v>
      </c>
      <c r="U16" s="0" t="s">
        <v>494</v>
      </c>
    </row>
    <row r="17" customFormat="false" ht="15" hidden="false" customHeight="false" outlineLevel="0" collapsed="false">
      <c r="A17" s="0" t="s">
        <v>245</v>
      </c>
      <c r="B17" s="0" t="s">
        <v>246</v>
      </c>
      <c r="C17" s="0" t="s">
        <v>492</v>
      </c>
      <c r="D17" s="0" t="n">
        <v>2026</v>
      </c>
      <c r="E17" s="0" t="n">
        <v>10</v>
      </c>
      <c r="F17" s="0" t="n">
        <v>1.583</v>
      </c>
      <c r="G17" s="0" t="n">
        <v>0.369</v>
      </c>
      <c r="H17" s="0" t="n">
        <v>0.862</v>
      </c>
      <c r="I17" s="0" t="n">
        <v>2.814</v>
      </c>
      <c r="J17" s="0" t="n">
        <v>28.14</v>
      </c>
      <c r="K17" s="0" t="n">
        <v>0.441</v>
      </c>
      <c r="L17" s="0" t="n">
        <v>0.03</v>
      </c>
      <c r="M17" s="0" t="n">
        <v>3.285</v>
      </c>
      <c r="N17" s="0" t="n">
        <v>32.848</v>
      </c>
      <c r="O17" s="0" t="n">
        <v>5.475</v>
      </c>
      <c r="P17" s="0" t="n">
        <v>6.57</v>
      </c>
      <c r="Q17" s="0" t="n">
        <v>8.212</v>
      </c>
      <c r="R17" s="0" t="n">
        <v>-0.642</v>
      </c>
      <c r="S17" s="0" t="n">
        <v>-0.938</v>
      </c>
      <c r="T17" s="0" t="s">
        <v>500</v>
      </c>
      <c r="U17" s="0" t="s">
        <v>494</v>
      </c>
    </row>
    <row r="18" customFormat="false" ht="15" hidden="false" customHeight="false" outlineLevel="0" collapsed="false">
      <c r="A18" s="0" t="s">
        <v>247</v>
      </c>
      <c r="B18" s="0" t="s">
        <v>248</v>
      </c>
      <c r="C18" s="0" t="s">
        <v>492</v>
      </c>
      <c r="D18" s="0" t="n">
        <v>2026</v>
      </c>
      <c r="E18" s="0" t="n">
        <v>1</v>
      </c>
      <c r="F18" s="0" t="n">
        <v>0.644</v>
      </c>
      <c r="G18" s="0" t="n">
        <v>0.215</v>
      </c>
      <c r="H18" s="0" t="n">
        <v>0.35</v>
      </c>
      <c r="I18" s="0" t="n">
        <v>1.209</v>
      </c>
      <c r="J18" s="0" t="n">
        <v>1.209</v>
      </c>
      <c r="K18" s="0" t="n">
        <v>0.537</v>
      </c>
      <c r="L18" s="0" t="n">
        <v>0.03</v>
      </c>
      <c r="M18" s="0" t="n">
        <v>1.777</v>
      </c>
      <c r="N18" s="0" t="n">
        <v>1.777</v>
      </c>
      <c r="O18" s="0" t="n">
        <v>2.961</v>
      </c>
      <c r="P18" s="0" t="n">
        <v>3.553</v>
      </c>
      <c r="Q18" s="0" t="n">
        <v>4.442</v>
      </c>
      <c r="R18" s="0" t="n">
        <v>0.112</v>
      </c>
      <c r="S18" s="0" t="n">
        <v>-0.048</v>
      </c>
      <c r="T18" s="0" t="s">
        <v>501</v>
      </c>
      <c r="U18" s="0" t="s">
        <v>502</v>
      </c>
    </row>
    <row r="19" customFormat="false" ht="15" hidden="false" customHeight="false" outlineLevel="0" collapsed="false">
      <c r="A19" s="0" t="s">
        <v>247</v>
      </c>
      <c r="B19" s="0" t="s">
        <v>248</v>
      </c>
      <c r="C19" s="0" t="s">
        <v>492</v>
      </c>
      <c r="D19" s="0" t="n">
        <v>2026</v>
      </c>
      <c r="E19" s="0" t="n">
        <v>3</v>
      </c>
      <c r="F19" s="0" t="n">
        <v>0.644</v>
      </c>
      <c r="G19" s="0" t="n">
        <v>0.246</v>
      </c>
      <c r="H19" s="0" t="n">
        <v>0.35</v>
      </c>
      <c r="I19" s="0" t="n">
        <v>1.241</v>
      </c>
      <c r="J19" s="0" t="n">
        <v>3.723</v>
      </c>
      <c r="K19" s="0" t="n">
        <v>0.466</v>
      </c>
      <c r="L19" s="0" t="n">
        <v>0.03</v>
      </c>
      <c r="M19" s="0" t="n">
        <v>1.737</v>
      </c>
      <c r="N19" s="0" t="n">
        <v>5.211</v>
      </c>
      <c r="O19" s="0" t="n">
        <v>2.895</v>
      </c>
      <c r="P19" s="0" t="n">
        <v>3.474</v>
      </c>
      <c r="Q19" s="0" t="n">
        <v>4.342</v>
      </c>
      <c r="R19" s="0" t="n">
        <v>0.132</v>
      </c>
      <c r="S19" s="0" t="n">
        <v>-0.025</v>
      </c>
      <c r="T19" s="0" t="s">
        <v>501</v>
      </c>
      <c r="U19" s="0" t="s">
        <v>502</v>
      </c>
    </row>
    <row r="20" customFormat="false" ht="15" hidden="false" customHeight="false" outlineLevel="0" collapsed="false">
      <c r="A20" s="0" t="s">
        <v>247</v>
      </c>
      <c r="B20" s="0" t="s">
        <v>248</v>
      </c>
      <c r="C20" s="0" t="s">
        <v>492</v>
      </c>
      <c r="D20" s="0" t="n">
        <v>2026</v>
      </c>
      <c r="E20" s="0" t="n">
        <v>5</v>
      </c>
      <c r="F20" s="0" t="n">
        <v>0.644</v>
      </c>
      <c r="G20" s="0" t="n">
        <v>0.278</v>
      </c>
      <c r="H20" s="0" t="n">
        <v>0.35</v>
      </c>
      <c r="I20" s="0" t="n">
        <v>1.273</v>
      </c>
      <c r="J20" s="0" t="n">
        <v>6.364</v>
      </c>
      <c r="K20" s="0" t="n">
        <v>0.451</v>
      </c>
      <c r="L20" s="0" t="n">
        <v>0.03</v>
      </c>
      <c r="M20" s="0" t="n">
        <v>1.754</v>
      </c>
      <c r="N20" s="0" t="n">
        <v>8.772</v>
      </c>
      <c r="O20" s="0" t="n">
        <v>2.924</v>
      </c>
      <c r="P20" s="0" t="n">
        <v>3.509</v>
      </c>
      <c r="Q20" s="0" t="n">
        <v>4.386</v>
      </c>
      <c r="R20" s="0" t="n">
        <v>0.123</v>
      </c>
      <c r="S20" s="0" t="n">
        <v>-0.035</v>
      </c>
      <c r="T20" s="0" t="s">
        <v>501</v>
      </c>
      <c r="U20" s="0" t="s">
        <v>502</v>
      </c>
    </row>
    <row r="21" customFormat="false" ht="15" hidden="false" customHeight="false" outlineLevel="0" collapsed="false">
      <c r="A21" s="0" t="s">
        <v>247</v>
      </c>
      <c r="B21" s="0" t="s">
        <v>248</v>
      </c>
      <c r="C21" s="0" t="s">
        <v>492</v>
      </c>
      <c r="D21" s="0" t="n">
        <v>2026</v>
      </c>
      <c r="E21" s="0" t="n">
        <v>10</v>
      </c>
      <c r="F21" s="0" t="n">
        <v>0.644</v>
      </c>
      <c r="G21" s="0" t="n">
        <v>0.358</v>
      </c>
      <c r="H21" s="0" t="n">
        <v>0.35</v>
      </c>
      <c r="I21" s="0" t="n">
        <v>1.352</v>
      </c>
      <c r="J21" s="0" t="n">
        <v>13.525</v>
      </c>
      <c r="K21" s="0" t="n">
        <v>0.441</v>
      </c>
      <c r="L21" s="0" t="n">
        <v>0.03</v>
      </c>
      <c r="M21" s="0" t="n">
        <v>1.823</v>
      </c>
      <c r="N21" s="0" t="n">
        <v>18.232</v>
      </c>
      <c r="O21" s="0" t="n">
        <v>3.039</v>
      </c>
      <c r="P21" s="0" t="n">
        <v>3.646</v>
      </c>
      <c r="Q21" s="0" t="n">
        <v>4.558</v>
      </c>
      <c r="R21" s="0" t="n">
        <v>0.088</v>
      </c>
      <c r="S21" s="0" t="n">
        <v>-0.076</v>
      </c>
      <c r="T21" s="0" t="s">
        <v>501</v>
      </c>
      <c r="U21" s="0" t="s">
        <v>502</v>
      </c>
    </row>
    <row r="22" customFormat="false" ht="15" hidden="false" customHeight="false" outlineLevel="0" collapsed="false">
      <c r="A22" s="0" t="s">
        <v>249</v>
      </c>
      <c r="B22" s="0" t="s">
        <v>250</v>
      </c>
      <c r="C22" s="0" t="s">
        <v>495</v>
      </c>
      <c r="D22" s="0" t="n">
        <v>2026</v>
      </c>
      <c r="E22" s="0" t="n">
        <v>1</v>
      </c>
      <c r="F22" s="0" t="n">
        <v>0.382</v>
      </c>
      <c r="G22" s="0" t="n">
        <v>0.21</v>
      </c>
      <c r="H22" s="0" t="n">
        <v>0.33</v>
      </c>
      <c r="I22" s="0" t="n">
        <v>0.923</v>
      </c>
      <c r="J22" s="0" t="n">
        <v>0.923</v>
      </c>
      <c r="K22" s="0" t="n">
        <v>0.537</v>
      </c>
      <c r="L22" s="0" t="n">
        <v>0.03</v>
      </c>
      <c r="M22" s="0" t="n">
        <v>1.49</v>
      </c>
      <c r="N22" s="0" t="n">
        <v>1.49</v>
      </c>
      <c r="O22" s="0" t="n">
        <v>2.483</v>
      </c>
      <c r="P22" s="0" t="n">
        <v>2.98</v>
      </c>
      <c r="Q22" s="0" t="n">
        <v>3.725</v>
      </c>
      <c r="R22" s="0" t="n">
        <v>0.255</v>
      </c>
      <c r="S22" s="0" t="n">
        <v>0.121</v>
      </c>
      <c r="T22" s="0" t="s">
        <v>503</v>
      </c>
      <c r="U22" s="0" t="s">
        <v>504</v>
      </c>
    </row>
    <row r="23" customFormat="false" ht="15" hidden="false" customHeight="false" outlineLevel="0" collapsed="false">
      <c r="A23" s="0" t="s">
        <v>249</v>
      </c>
      <c r="B23" s="0" t="s">
        <v>250</v>
      </c>
      <c r="C23" s="0" t="s">
        <v>495</v>
      </c>
      <c r="D23" s="0" t="n">
        <v>2026</v>
      </c>
      <c r="E23" s="0" t="n">
        <v>3</v>
      </c>
      <c r="F23" s="0" t="n">
        <v>0.382</v>
      </c>
      <c r="G23" s="0" t="n">
        <v>0.229</v>
      </c>
      <c r="H23" s="0" t="n">
        <v>0.33</v>
      </c>
      <c r="I23" s="0" t="n">
        <v>0.941</v>
      </c>
      <c r="J23" s="0" t="n">
        <v>2.824</v>
      </c>
      <c r="K23" s="0" t="n">
        <v>0.466</v>
      </c>
      <c r="L23" s="0" t="n">
        <v>0.03</v>
      </c>
      <c r="M23" s="0" t="n">
        <v>1.437</v>
      </c>
      <c r="N23" s="0" t="n">
        <v>4.311</v>
      </c>
      <c r="O23" s="0" t="n">
        <v>2.395</v>
      </c>
      <c r="P23" s="0" t="n">
        <v>2.874</v>
      </c>
      <c r="Q23" s="0" t="n">
        <v>3.593</v>
      </c>
      <c r="R23" s="0" t="n">
        <v>0.281</v>
      </c>
      <c r="S23" s="0" t="n">
        <v>0.152</v>
      </c>
      <c r="T23" s="0" t="s">
        <v>503</v>
      </c>
      <c r="U23" s="0" t="s">
        <v>504</v>
      </c>
    </row>
    <row r="24" customFormat="false" ht="15" hidden="false" customHeight="false" outlineLevel="0" collapsed="false">
      <c r="A24" s="0" t="s">
        <v>249</v>
      </c>
      <c r="B24" s="0" t="s">
        <v>250</v>
      </c>
      <c r="C24" s="0" t="s">
        <v>495</v>
      </c>
      <c r="D24" s="0" t="n">
        <v>2026</v>
      </c>
      <c r="E24" s="0" t="n">
        <v>5</v>
      </c>
      <c r="F24" s="0" t="n">
        <v>0.382</v>
      </c>
      <c r="G24" s="0" t="n">
        <v>0.247</v>
      </c>
      <c r="H24" s="0" t="n">
        <v>0.33</v>
      </c>
      <c r="I24" s="0" t="n">
        <v>0.96</v>
      </c>
      <c r="J24" s="0" t="n">
        <v>4.8</v>
      </c>
      <c r="K24" s="0" t="n">
        <v>0.451</v>
      </c>
      <c r="L24" s="0" t="n">
        <v>0.03</v>
      </c>
      <c r="M24" s="0" t="n">
        <v>1.442</v>
      </c>
      <c r="N24" s="0" t="n">
        <v>7.208</v>
      </c>
      <c r="O24" s="0" t="n">
        <v>2.403</v>
      </c>
      <c r="P24" s="0" t="n">
        <v>2.883</v>
      </c>
      <c r="Q24" s="0" t="n">
        <v>3.604</v>
      </c>
      <c r="R24" s="0" t="n">
        <v>0.279</v>
      </c>
      <c r="S24" s="0" t="n">
        <v>0.15</v>
      </c>
      <c r="T24" s="0" t="s">
        <v>503</v>
      </c>
      <c r="U24" s="0" t="s">
        <v>504</v>
      </c>
    </row>
    <row r="25" customFormat="false" ht="15" hidden="false" customHeight="false" outlineLevel="0" collapsed="false">
      <c r="A25" s="0" t="s">
        <v>249</v>
      </c>
      <c r="B25" s="0" t="s">
        <v>250</v>
      </c>
      <c r="C25" s="0" t="s">
        <v>495</v>
      </c>
      <c r="D25" s="0" t="n">
        <v>2026</v>
      </c>
      <c r="E25" s="0" t="n">
        <v>10</v>
      </c>
      <c r="F25" s="0" t="n">
        <v>0.382</v>
      </c>
      <c r="G25" s="0" t="n">
        <v>0.294</v>
      </c>
      <c r="H25" s="0" t="n">
        <v>0.33</v>
      </c>
      <c r="I25" s="0" t="n">
        <v>1.007</v>
      </c>
      <c r="J25" s="0" t="n">
        <v>10.068</v>
      </c>
      <c r="K25" s="0" t="n">
        <v>0.441</v>
      </c>
      <c r="L25" s="0" t="n">
        <v>0.03</v>
      </c>
      <c r="M25" s="0" t="n">
        <v>1.478</v>
      </c>
      <c r="N25" s="0" t="n">
        <v>14.776</v>
      </c>
      <c r="O25" s="0" t="n">
        <v>2.463</v>
      </c>
      <c r="P25" s="0" t="n">
        <v>2.955</v>
      </c>
      <c r="Q25" s="0" t="n">
        <v>3.694</v>
      </c>
      <c r="R25" s="0" t="n">
        <v>0.261</v>
      </c>
      <c r="S25" s="0" t="n">
        <v>0.128</v>
      </c>
      <c r="T25" s="0" t="s">
        <v>503</v>
      </c>
      <c r="U25" s="0" t="s">
        <v>504</v>
      </c>
    </row>
    <row r="26" customFormat="false" ht="15" hidden="false" customHeight="false" outlineLevel="0" collapsed="false">
      <c r="A26" s="0" t="s">
        <v>251</v>
      </c>
      <c r="B26" s="0" t="s">
        <v>252</v>
      </c>
      <c r="C26" s="0" t="s">
        <v>505</v>
      </c>
      <c r="D26" s="0" t="n">
        <v>2026</v>
      </c>
      <c r="E26" s="0" t="n">
        <v>1</v>
      </c>
      <c r="F26" s="0" t="n">
        <v>0.382</v>
      </c>
      <c r="G26" s="0" t="n">
        <v>0.21</v>
      </c>
      <c r="H26" s="0" t="n">
        <v>0.862</v>
      </c>
      <c r="I26" s="0" t="n">
        <v>1.454</v>
      </c>
      <c r="J26" s="0" t="n">
        <v>1.454</v>
      </c>
      <c r="K26" s="0" t="n">
        <v>0.537</v>
      </c>
      <c r="L26" s="0" t="n">
        <v>0.03</v>
      </c>
      <c r="M26" s="0" t="n">
        <v>2.021</v>
      </c>
      <c r="N26" s="0" t="n">
        <v>2.021</v>
      </c>
      <c r="O26" s="0" t="n">
        <v>3.369</v>
      </c>
      <c r="P26" s="0" t="n">
        <v>4.043</v>
      </c>
      <c r="Q26" s="0" t="n">
        <v>5.054</v>
      </c>
      <c r="R26" s="0" t="n">
        <v>-0.011</v>
      </c>
      <c r="S26" s="0" t="n">
        <v>-0.193</v>
      </c>
      <c r="T26" s="0" t="s">
        <v>506</v>
      </c>
      <c r="U26" s="0" t="s">
        <v>507</v>
      </c>
    </row>
    <row r="27" customFormat="false" ht="15" hidden="false" customHeight="false" outlineLevel="0" collapsed="false">
      <c r="A27" s="0" t="s">
        <v>251</v>
      </c>
      <c r="B27" s="0" t="s">
        <v>252</v>
      </c>
      <c r="C27" s="0" t="s">
        <v>505</v>
      </c>
      <c r="D27" s="0" t="n">
        <v>2026</v>
      </c>
      <c r="E27" s="0" t="n">
        <v>3</v>
      </c>
      <c r="F27" s="0" t="n">
        <v>0.382</v>
      </c>
      <c r="G27" s="0" t="n">
        <v>0.229</v>
      </c>
      <c r="H27" s="0" t="n">
        <v>0.862</v>
      </c>
      <c r="I27" s="0" t="n">
        <v>1.473</v>
      </c>
      <c r="J27" s="0" t="n">
        <v>4.418</v>
      </c>
      <c r="K27" s="0" t="n">
        <v>0.466</v>
      </c>
      <c r="L27" s="0" t="n">
        <v>0.03</v>
      </c>
      <c r="M27" s="0" t="n">
        <v>1.968</v>
      </c>
      <c r="N27" s="0" t="n">
        <v>5.905</v>
      </c>
      <c r="O27" s="0" t="n">
        <v>3.281</v>
      </c>
      <c r="P27" s="0" t="n">
        <v>3.937</v>
      </c>
      <c r="Q27" s="0" t="n">
        <v>4.921</v>
      </c>
      <c r="R27" s="0" t="n">
        <v>0.016</v>
      </c>
      <c r="S27" s="0" t="n">
        <v>-0.161</v>
      </c>
      <c r="T27" s="0" t="s">
        <v>506</v>
      </c>
      <c r="U27" s="0" t="s">
        <v>507</v>
      </c>
    </row>
    <row r="28" customFormat="false" ht="15" hidden="false" customHeight="false" outlineLevel="0" collapsed="false">
      <c r="A28" s="0" t="s">
        <v>251</v>
      </c>
      <c r="B28" s="0" t="s">
        <v>252</v>
      </c>
      <c r="C28" s="0" t="s">
        <v>505</v>
      </c>
      <c r="D28" s="0" t="n">
        <v>2026</v>
      </c>
      <c r="E28" s="0" t="n">
        <v>5</v>
      </c>
      <c r="F28" s="0" t="n">
        <v>0.382</v>
      </c>
      <c r="G28" s="0" t="n">
        <v>0.247</v>
      </c>
      <c r="H28" s="0" t="n">
        <v>0.862</v>
      </c>
      <c r="I28" s="0" t="n">
        <v>1.491</v>
      </c>
      <c r="J28" s="0" t="n">
        <v>7.457</v>
      </c>
      <c r="K28" s="0" t="n">
        <v>0.451</v>
      </c>
      <c r="L28" s="0" t="n">
        <v>0.03</v>
      </c>
      <c r="M28" s="0" t="n">
        <v>1.973</v>
      </c>
      <c r="N28" s="0" t="n">
        <v>9.864</v>
      </c>
      <c r="O28" s="0" t="n">
        <v>3.288</v>
      </c>
      <c r="P28" s="0" t="n">
        <v>3.946</v>
      </c>
      <c r="Q28" s="0" t="n">
        <v>4.932</v>
      </c>
      <c r="R28" s="0" t="n">
        <v>0.014</v>
      </c>
      <c r="S28" s="0" t="n">
        <v>-0.164</v>
      </c>
      <c r="T28" s="0" t="s">
        <v>506</v>
      </c>
      <c r="U28" s="0" t="s">
        <v>507</v>
      </c>
    </row>
    <row r="29" customFormat="false" ht="15" hidden="false" customHeight="false" outlineLevel="0" collapsed="false">
      <c r="A29" s="0" t="s">
        <v>251</v>
      </c>
      <c r="B29" s="0" t="s">
        <v>252</v>
      </c>
      <c r="C29" s="0" t="s">
        <v>505</v>
      </c>
      <c r="D29" s="0" t="n">
        <v>2026</v>
      </c>
      <c r="E29" s="0" t="n">
        <v>10</v>
      </c>
      <c r="F29" s="0" t="n">
        <v>0.382</v>
      </c>
      <c r="G29" s="0" t="n">
        <v>0.294</v>
      </c>
      <c r="H29" s="0" t="n">
        <v>0.862</v>
      </c>
      <c r="I29" s="0" t="n">
        <v>1.538</v>
      </c>
      <c r="J29" s="0" t="n">
        <v>15.382</v>
      </c>
      <c r="K29" s="0" t="n">
        <v>0.441</v>
      </c>
      <c r="L29" s="0" t="n">
        <v>0.03</v>
      </c>
      <c r="M29" s="0" t="n">
        <v>2.009</v>
      </c>
      <c r="N29" s="0" t="n">
        <v>20.089</v>
      </c>
      <c r="O29" s="0" t="n">
        <v>3.348</v>
      </c>
      <c r="P29" s="0" t="n">
        <v>4.018</v>
      </c>
      <c r="Q29" s="0" t="n">
        <v>5.022</v>
      </c>
      <c r="R29" s="0" t="n">
        <v>-0.004</v>
      </c>
      <c r="S29" s="0" t="n">
        <v>-0.185</v>
      </c>
      <c r="T29" s="0" t="s">
        <v>506</v>
      </c>
      <c r="U29" s="0" t="s">
        <v>507</v>
      </c>
    </row>
    <row r="30" customFormat="false" ht="15" hidden="false" customHeight="false" outlineLevel="0" collapsed="false">
      <c r="A30" s="0" t="s">
        <v>253</v>
      </c>
      <c r="B30" s="0" t="s">
        <v>254</v>
      </c>
      <c r="C30" s="0" t="s">
        <v>508</v>
      </c>
      <c r="D30" s="0" t="n">
        <v>2026</v>
      </c>
      <c r="E30" s="0" t="n">
        <v>1</v>
      </c>
      <c r="F30" s="0" t="n">
        <v>0.644</v>
      </c>
      <c r="G30" s="0" t="n">
        <v>0.499</v>
      </c>
      <c r="H30" s="0" t="n">
        <v>0.343</v>
      </c>
      <c r="I30" s="0" t="n">
        <v>1.487</v>
      </c>
      <c r="J30" s="0" t="n">
        <v>1.487</v>
      </c>
      <c r="K30" s="0" t="n">
        <v>0.537</v>
      </c>
      <c r="L30" s="0" t="n">
        <v>0.03</v>
      </c>
      <c r="M30" s="0" t="n">
        <v>2.054</v>
      </c>
      <c r="N30" s="0" t="n">
        <v>2.054</v>
      </c>
      <c r="O30" s="0" t="n">
        <v>3.424</v>
      </c>
      <c r="P30" s="0" t="n">
        <v>4.108</v>
      </c>
      <c r="Q30" s="0" t="n">
        <v>5.135</v>
      </c>
      <c r="R30" s="0" t="n">
        <v>-0.027</v>
      </c>
      <c r="S30" s="0" t="n">
        <v>-0.212</v>
      </c>
      <c r="T30" s="0" t="s">
        <v>509</v>
      </c>
      <c r="U30" s="0" t="s">
        <v>510</v>
      </c>
    </row>
    <row r="31" customFormat="false" ht="15" hidden="false" customHeight="false" outlineLevel="0" collapsed="false">
      <c r="A31" s="0" t="s">
        <v>253</v>
      </c>
      <c r="B31" s="0" t="s">
        <v>254</v>
      </c>
      <c r="C31" s="0" t="s">
        <v>508</v>
      </c>
      <c r="D31" s="0" t="n">
        <v>2026</v>
      </c>
      <c r="E31" s="0" t="n">
        <v>3</v>
      </c>
      <c r="F31" s="0" t="n">
        <v>0.644</v>
      </c>
      <c r="G31" s="0" t="n">
        <v>0.547</v>
      </c>
      <c r="H31" s="0" t="n">
        <v>0.343</v>
      </c>
      <c r="I31" s="0" t="n">
        <v>1.534</v>
      </c>
      <c r="J31" s="0" t="n">
        <v>4.602</v>
      </c>
      <c r="K31" s="0" t="n">
        <v>0.466</v>
      </c>
      <c r="L31" s="0" t="n">
        <v>0.03</v>
      </c>
      <c r="M31" s="0" t="n">
        <v>2.03</v>
      </c>
      <c r="N31" s="0" t="n">
        <v>6.09</v>
      </c>
      <c r="O31" s="0" t="n">
        <v>3.383</v>
      </c>
      <c r="P31" s="0" t="n">
        <v>4.06</v>
      </c>
      <c r="Q31" s="0" t="n">
        <v>5.075</v>
      </c>
      <c r="R31" s="0" t="n">
        <v>-0.015</v>
      </c>
      <c r="S31" s="0" t="n">
        <v>-0.198</v>
      </c>
      <c r="T31" s="0" t="s">
        <v>509</v>
      </c>
      <c r="U31" s="0" t="s">
        <v>510</v>
      </c>
    </row>
    <row r="32" customFormat="false" ht="15" hidden="false" customHeight="false" outlineLevel="0" collapsed="false">
      <c r="A32" s="0" t="s">
        <v>253</v>
      </c>
      <c r="B32" s="0" t="s">
        <v>254</v>
      </c>
      <c r="C32" s="0" t="s">
        <v>508</v>
      </c>
      <c r="D32" s="0" t="n">
        <v>2026</v>
      </c>
      <c r="E32" s="0" t="n">
        <v>5</v>
      </c>
      <c r="F32" s="0" t="n">
        <v>0.644</v>
      </c>
      <c r="G32" s="0" t="n">
        <v>0.594</v>
      </c>
      <c r="H32" s="0" t="n">
        <v>0.343</v>
      </c>
      <c r="I32" s="0" t="n">
        <v>1.581</v>
      </c>
      <c r="J32" s="0" t="n">
        <v>7.907</v>
      </c>
      <c r="K32" s="0" t="n">
        <v>0.451</v>
      </c>
      <c r="L32" s="0" t="n">
        <v>0.03</v>
      </c>
      <c r="M32" s="0" t="n">
        <v>2.063</v>
      </c>
      <c r="N32" s="0" t="n">
        <v>10.314</v>
      </c>
      <c r="O32" s="0" t="n">
        <v>3.438</v>
      </c>
      <c r="P32" s="0" t="n">
        <v>4.126</v>
      </c>
      <c r="Q32" s="0" t="n">
        <v>5.157</v>
      </c>
      <c r="R32" s="0" t="n">
        <v>-0.031</v>
      </c>
      <c r="S32" s="0" t="n">
        <v>-0.217</v>
      </c>
      <c r="T32" s="0" t="s">
        <v>509</v>
      </c>
      <c r="U32" s="0" t="s">
        <v>510</v>
      </c>
    </row>
    <row r="33" customFormat="false" ht="15" hidden="false" customHeight="false" outlineLevel="0" collapsed="false">
      <c r="A33" s="0" t="s">
        <v>253</v>
      </c>
      <c r="B33" s="0" t="s">
        <v>254</v>
      </c>
      <c r="C33" s="0" t="s">
        <v>508</v>
      </c>
      <c r="D33" s="0" t="n">
        <v>2026</v>
      </c>
      <c r="E33" s="0" t="n">
        <v>10</v>
      </c>
      <c r="F33" s="0" t="n">
        <v>0.644</v>
      </c>
      <c r="G33" s="0" t="n">
        <v>0.712</v>
      </c>
      <c r="H33" s="0" t="n">
        <v>0.343</v>
      </c>
      <c r="I33" s="0" t="n">
        <v>1.7</v>
      </c>
      <c r="J33" s="0" t="n">
        <v>16.996</v>
      </c>
      <c r="K33" s="0" t="n">
        <v>0.441</v>
      </c>
      <c r="L33" s="0" t="n">
        <v>0.03</v>
      </c>
      <c r="M33" s="0" t="n">
        <v>2.17</v>
      </c>
      <c r="N33" s="0" t="n">
        <v>21.703</v>
      </c>
      <c r="O33" s="0" t="n">
        <v>3.617</v>
      </c>
      <c r="P33" s="0" t="n">
        <v>4.341</v>
      </c>
      <c r="Q33" s="0" t="n">
        <v>5.426</v>
      </c>
      <c r="R33" s="0" t="n">
        <v>-0.085</v>
      </c>
      <c r="S33" s="0" t="n">
        <v>-0.28</v>
      </c>
      <c r="T33" s="0" t="s">
        <v>509</v>
      </c>
      <c r="U33" s="0" t="s">
        <v>510</v>
      </c>
    </row>
    <row r="34" customFormat="false" ht="15" hidden="false" customHeight="false" outlineLevel="0" collapsed="false">
      <c r="A34" s="0" t="s">
        <v>255</v>
      </c>
      <c r="B34" s="0" t="s">
        <v>256</v>
      </c>
      <c r="C34" s="0" t="s">
        <v>511</v>
      </c>
      <c r="D34" s="0" t="n">
        <v>2026</v>
      </c>
      <c r="E34" s="0" t="n">
        <v>1</v>
      </c>
      <c r="F34" s="0" t="n">
        <v>0.644</v>
      </c>
      <c r="G34" s="0" t="n">
        <v>0.499</v>
      </c>
      <c r="H34" s="0" t="n">
        <v>0.366</v>
      </c>
      <c r="I34" s="0" t="n">
        <v>1.51</v>
      </c>
      <c r="J34" s="0" t="n">
        <v>1.51</v>
      </c>
      <c r="K34" s="0" t="n">
        <v>0.537</v>
      </c>
      <c r="L34" s="0" t="n">
        <v>0.03</v>
      </c>
      <c r="M34" s="0" t="n">
        <v>2.077</v>
      </c>
      <c r="N34" s="0" t="n">
        <v>2.077</v>
      </c>
      <c r="O34" s="0" t="n">
        <v>3.462</v>
      </c>
      <c r="P34" s="0" t="n">
        <v>4.154</v>
      </c>
      <c r="Q34" s="0" t="n">
        <v>5.193</v>
      </c>
      <c r="R34" s="0" t="n">
        <v>-0.039</v>
      </c>
      <c r="S34" s="0" t="n">
        <v>-0.226</v>
      </c>
      <c r="T34" s="0" t="s">
        <v>512</v>
      </c>
      <c r="U34" s="0" t="s">
        <v>386</v>
      </c>
    </row>
    <row r="35" customFormat="false" ht="15" hidden="false" customHeight="false" outlineLevel="0" collapsed="false">
      <c r="A35" s="0" t="s">
        <v>255</v>
      </c>
      <c r="B35" s="0" t="s">
        <v>256</v>
      </c>
      <c r="C35" s="0" t="s">
        <v>511</v>
      </c>
      <c r="D35" s="0" t="n">
        <v>2027</v>
      </c>
      <c r="E35" s="0" t="n">
        <v>1</v>
      </c>
      <c r="F35" s="0" t="n">
        <v>0.644</v>
      </c>
      <c r="G35" s="0" t="n">
        <v>0.499</v>
      </c>
      <c r="H35" s="0" t="n">
        <v>0.732</v>
      </c>
      <c r="I35" s="0" t="n">
        <v>1.876</v>
      </c>
      <c r="J35" s="0" t="n">
        <v>1.876</v>
      </c>
      <c r="K35" s="0" t="n">
        <v>0.537</v>
      </c>
      <c r="L35" s="0" t="n">
        <v>0.03</v>
      </c>
      <c r="M35" s="0" t="n">
        <v>2.443</v>
      </c>
      <c r="N35" s="0" t="n">
        <v>2.443</v>
      </c>
      <c r="O35" s="0" t="n">
        <v>4.072</v>
      </c>
      <c r="P35" s="0" t="n">
        <v>4.886</v>
      </c>
      <c r="Q35" s="0" t="n">
        <v>6.108</v>
      </c>
      <c r="R35" s="0" t="n">
        <v>-0.222</v>
      </c>
      <c r="S35" s="0" t="n">
        <v>-0.441</v>
      </c>
      <c r="T35" s="0" t="s">
        <v>512</v>
      </c>
      <c r="U35" s="0" t="s">
        <v>386</v>
      </c>
    </row>
    <row r="36" customFormat="false" ht="15" hidden="false" customHeight="false" outlineLevel="0" collapsed="false">
      <c r="A36" s="0" t="s">
        <v>255</v>
      </c>
      <c r="B36" s="0" t="s">
        <v>256</v>
      </c>
      <c r="C36" s="0" t="s">
        <v>511</v>
      </c>
      <c r="D36" s="0" t="n">
        <v>2026</v>
      </c>
      <c r="E36" s="0" t="n">
        <v>3</v>
      </c>
      <c r="F36" s="0" t="n">
        <v>0.644</v>
      </c>
      <c r="G36" s="0" t="n">
        <v>0.547</v>
      </c>
      <c r="H36" s="0" t="n">
        <v>0.366</v>
      </c>
      <c r="I36" s="0" t="n">
        <v>1.557</v>
      </c>
      <c r="J36" s="0" t="n">
        <v>4.671</v>
      </c>
      <c r="K36" s="0" t="n">
        <v>0.466</v>
      </c>
      <c r="L36" s="0" t="n">
        <v>0.03</v>
      </c>
      <c r="M36" s="0" t="n">
        <v>2.053</v>
      </c>
      <c r="N36" s="0" t="n">
        <v>6.158</v>
      </c>
      <c r="O36" s="0" t="n">
        <v>3.421</v>
      </c>
      <c r="P36" s="0" t="n">
        <v>4.106</v>
      </c>
      <c r="Q36" s="0" t="n">
        <v>5.132</v>
      </c>
      <c r="R36" s="0" t="n">
        <v>-0.026</v>
      </c>
      <c r="S36" s="0" t="n">
        <v>-0.211</v>
      </c>
      <c r="T36" s="0" t="s">
        <v>512</v>
      </c>
      <c r="U36" s="0" t="s">
        <v>386</v>
      </c>
    </row>
    <row r="37" customFormat="false" ht="15" hidden="false" customHeight="false" outlineLevel="0" collapsed="false">
      <c r="A37" s="0" t="s">
        <v>255</v>
      </c>
      <c r="B37" s="0" t="s">
        <v>256</v>
      </c>
      <c r="C37" s="0" t="s">
        <v>511</v>
      </c>
      <c r="D37" s="0" t="n">
        <v>2027</v>
      </c>
      <c r="E37" s="0" t="n">
        <v>3</v>
      </c>
      <c r="F37" s="0" t="n">
        <v>0.644</v>
      </c>
      <c r="G37" s="0" t="n">
        <v>0.547</v>
      </c>
      <c r="H37" s="0" t="n">
        <v>0.732</v>
      </c>
      <c r="I37" s="0" t="n">
        <v>1.923</v>
      </c>
      <c r="J37" s="0" t="n">
        <v>5.769</v>
      </c>
      <c r="K37" s="0" t="n">
        <v>0.466</v>
      </c>
      <c r="L37" s="0" t="n">
        <v>0.03</v>
      </c>
      <c r="M37" s="0" t="n">
        <v>2.419</v>
      </c>
      <c r="N37" s="0" t="n">
        <v>7.256</v>
      </c>
      <c r="O37" s="0" t="n">
        <v>4.031</v>
      </c>
      <c r="P37" s="0" t="n">
        <v>4.838</v>
      </c>
      <c r="Q37" s="0" t="n">
        <v>6.047</v>
      </c>
      <c r="R37" s="0" t="n">
        <v>-0.209</v>
      </c>
      <c r="S37" s="0" t="n">
        <v>-0.427</v>
      </c>
      <c r="T37" s="0" t="s">
        <v>512</v>
      </c>
      <c r="U37" s="0" t="s">
        <v>386</v>
      </c>
    </row>
    <row r="38" customFormat="false" ht="15" hidden="false" customHeight="false" outlineLevel="0" collapsed="false">
      <c r="A38" s="0" t="s">
        <v>255</v>
      </c>
      <c r="B38" s="0" t="s">
        <v>256</v>
      </c>
      <c r="C38" s="0" t="s">
        <v>511</v>
      </c>
      <c r="D38" s="0" t="n">
        <v>2026</v>
      </c>
      <c r="E38" s="0" t="n">
        <v>5</v>
      </c>
      <c r="F38" s="0" t="n">
        <v>0.644</v>
      </c>
      <c r="G38" s="0" t="n">
        <v>0.594</v>
      </c>
      <c r="H38" s="0" t="n">
        <v>0.366</v>
      </c>
      <c r="I38" s="0" t="n">
        <v>1.604</v>
      </c>
      <c r="J38" s="0" t="n">
        <v>8.021</v>
      </c>
      <c r="K38" s="0" t="n">
        <v>0.451</v>
      </c>
      <c r="L38" s="0" t="n">
        <v>0.03</v>
      </c>
      <c r="M38" s="0" t="n">
        <v>2.086</v>
      </c>
      <c r="N38" s="0" t="n">
        <v>10.429</v>
      </c>
      <c r="O38" s="0" t="n">
        <v>3.476</v>
      </c>
      <c r="P38" s="0" t="n">
        <v>4.172</v>
      </c>
      <c r="Q38" s="0" t="n">
        <v>5.214</v>
      </c>
      <c r="R38" s="0" t="n">
        <v>-0.043</v>
      </c>
      <c r="S38" s="0" t="n">
        <v>-0.231</v>
      </c>
      <c r="T38" s="0" t="s">
        <v>512</v>
      </c>
      <c r="U38" s="0" t="s">
        <v>386</v>
      </c>
    </row>
    <row r="39" customFormat="false" ht="15" hidden="false" customHeight="false" outlineLevel="0" collapsed="false">
      <c r="A39" s="0" t="s">
        <v>255</v>
      </c>
      <c r="B39" s="0" t="s">
        <v>256</v>
      </c>
      <c r="C39" s="0" t="s">
        <v>511</v>
      </c>
      <c r="D39" s="0" t="n">
        <v>2027</v>
      </c>
      <c r="E39" s="0" t="n">
        <v>5</v>
      </c>
      <c r="F39" s="0" t="n">
        <v>0.644</v>
      </c>
      <c r="G39" s="0" t="n">
        <v>0.594</v>
      </c>
      <c r="H39" s="0" t="n">
        <v>0.732</v>
      </c>
      <c r="I39" s="0" t="n">
        <v>1.97</v>
      </c>
      <c r="J39" s="0" t="n">
        <v>9.851</v>
      </c>
      <c r="K39" s="0" t="n">
        <v>0.451</v>
      </c>
      <c r="L39" s="0" t="n">
        <v>0.03</v>
      </c>
      <c r="M39" s="0" t="n">
        <v>2.452</v>
      </c>
      <c r="N39" s="0" t="n">
        <v>12.259</v>
      </c>
      <c r="O39" s="0" t="n">
        <v>4.086</v>
      </c>
      <c r="P39" s="0" t="n">
        <v>4.904</v>
      </c>
      <c r="Q39" s="0" t="n">
        <v>6.129</v>
      </c>
      <c r="R39" s="0" t="n">
        <v>-0.226</v>
      </c>
      <c r="S39" s="0" t="n">
        <v>-0.447</v>
      </c>
      <c r="T39" s="0" t="s">
        <v>512</v>
      </c>
      <c r="U39" s="0" t="s">
        <v>386</v>
      </c>
    </row>
    <row r="40" customFormat="false" ht="15" hidden="false" customHeight="false" outlineLevel="0" collapsed="false">
      <c r="A40" s="0" t="s">
        <v>255</v>
      </c>
      <c r="B40" s="0" t="s">
        <v>256</v>
      </c>
      <c r="C40" s="0" t="s">
        <v>511</v>
      </c>
      <c r="D40" s="0" t="n">
        <v>2026</v>
      </c>
      <c r="E40" s="0" t="n">
        <v>10</v>
      </c>
      <c r="F40" s="0" t="n">
        <v>0.644</v>
      </c>
      <c r="G40" s="0" t="n">
        <v>0.712</v>
      </c>
      <c r="H40" s="0" t="n">
        <v>0.366</v>
      </c>
      <c r="I40" s="0" t="n">
        <v>1.723</v>
      </c>
      <c r="J40" s="0" t="n">
        <v>17.225</v>
      </c>
      <c r="K40" s="0" t="n">
        <v>0.441</v>
      </c>
      <c r="L40" s="0" t="n">
        <v>0.03</v>
      </c>
      <c r="M40" s="0" t="n">
        <v>2.193</v>
      </c>
      <c r="N40" s="0" t="n">
        <v>21.933</v>
      </c>
      <c r="O40" s="0" t="n">
        <v>3.655</v>
      </c>
      <c r="P40" s="0" t="n">
        <v>4.387</v>
      </c>
      <c r="Q40" s="0" t="n">
        <v>5.483</v>
      </c>
      <c r="R40" s="0" t="n">
        <v>-0.097</v>
      </c>
      <c r="S40" s="0" t="n">
        <v>-0.294</v>
      </c>
      <c r="T40" s="0" t="s">
        <v>512</v>
      </c>
      <c r="U40" s="0" t="s">
        <v>386</v>
      </c>
    </row>
    <row r="41" customFormat="false" ht="15" hidden="false" customHeight="false" outlineLevel="0" collapsed="false">
      <c r="A41" s="0" t="s">
        <v>255</v>
      </c>
      <c r="B41" s="0" t="s">
        <v>256</v>
      </c>
      <c r="C41" s="0" t="s">
        <v>511</v>
      </c>
      <c r="D41" s="0" t="n">
        <v>2027</v>
      </c>
      <c r="E41" s="0" t="n">
        <v>10</v>
      </c>
      <c r="F41" s="0" t="n">
        <v>0.644</v>
      </c>
      <c r="G41" s="0" t="n">
        <v>0.712</v>
      </c>
      <c r="H41" s="0" t="n">
        <v>0.732</v>
      </c>
      <c r="I41" s="0" t="n">
        <v>2.089</v>
      </c>
      <c r="J41" s="0" t="n">
        <v>20.885</v>
      </c>
      <c r="K41" s="0" t="n">
        <v>0.441</v>
      </c>
      <c r="L41" s="0" t="n">
        <v>0.03</v>
      </c>
      <c r="M41" s="0" t="n">
        <v>2.559</v>
      </c>
      <c r="N41" s="0" t="n">
        <v>25.593</v>
      </c>
      <c r="O41" s="0" t="n">
        <v>4.265</v>
      </c>
      <c r="P41" s="0" t="n">
        <v>5.119</v>
      </c>
      <c r="Q41" s="0" t="n">
        <v>6.398</v>
      </c>
      <c r="R41" s="0" t="n">
        <v>-0.28</v>
      </c>
      <c r="S41" s="0" t="n">
        <v>-0.51</v>
      </c>
      <c r="T41" s="0" t="s">
        <v>512</v>
      </c>
      <c r="U41" s="0" t="s">
        <v>386</v>
      </c>
    </row>
    <row r="42" customFormat="false" ht="15" hidden="false" customHeight="false" outlineLevel="0" collapsed="false">
      <c r="A42" s="0" t="s">
        <v>258</v>
      </c>
      <c r="B42" s="0" t="s">
        <v>259</v>
      </c>
      <c r="C42" s="0" t="s">
        <v>511</v>
      </c>
      <c r="D42" s="0" t="n">
        <v>2026</v>
      </c>
      <c r="E42" s="0" t="n">
        <v>1</v>
      </c>
      <c r="F42" s="0" t="n">
        <v>0.382</v>
      </c>
      <c r="G42" s="0" t="n">
        <v>0.21</v>
      </c>
      <c r="H42" s="0" t="n">
        <v>0.366</v>
      </c>
      <c r="I42" s="0" t="n">
        <v>0.958</v>
      </c>
      <c r="J42" s="0" t="n">
        <v>0.958</v>
      </c>
      <c r="K42" s="0" t="n">
        <v>0.537</v>
      </c>
      <c r="L42" s="0" t="n">
        <v>0.03</v>
      </c>
      <c r="M42" s="0" t="n">
        <v>1.526</v>
      </c>
      <c r="N42" s="0" t="n">
        <v>1.526</v>
      </c>
      <c r="O42" s="0" t="n">
        <v>2.543</v>
      </c>
      <c r="P42" s="0" t="n">
        <v>3.051</v>
      </c>
      <c r="Q42" s="0" t="n">
        <v>3.814</v>
      </c>
      <c r="R42" s="0" t="n">
        <v>0.237</v>
      </c>
      <c r="S42" s="0" t="n">
        <v>0.1</v>
      </c>
      <c r="T42" s="0" t="s">
        <v>513</v>
      </c>
      <c r="U42" s="0" t="s">
        <v>386</v>
      </c>
    </row>
    <row r="43" customFormat="false" ht="15" hidden="false" customHeight="false" outlineLevel="0" collapsed="false">
      <c r="A43" s="0" t="s">
        <v>258</v>
      </c>
      <c r="B43" s="0" t="s">
        <v>259</v>
      </c>
      <c r="C43" s="0" t="s">
        <v>511</v>
      </c>
      <c r="D43" s="0" t="n">
        <v>2027</v>
      </c>
      <c r="E43" s="0" t="n">
        <v>1</v>
      </c>
      <c r="F43" s="0" t="n">
        <v>0.382</v>
      </c>
      <c r="G43" s="0" t="n">
        <v>0.21</v>
      </c>
      <c r="H43" s="0" t="n">
        <v>0.732</v>
      </c>
      <c r="I43" s="0" t="n">
        <v>1.324</v>
      </c>
      <c r="J43" s="0" t="n">
        <v>1.324</v>
      </c>
      <c r="K43" s="0" t="n">
        <v>0.537</v>
      </c>
      <c r="L43" s="0" t="n">
        <v>0.03</v>
      </c>
      <c r="M43" s="0" t="n">
        <v>1.892</v>
      </c>
      <c r="N43" s="0" t="n">
        <v>1.892</v>
      </c>
      <c r="O43" s="0" t="n">
        <v>3.153</v>
      </c>
      <c r="P43" s="0" t="n">
        <v>3.783</v>
      </c>
      <c r="Q43" s="0" t="n">
        <v>4.729</v>
      </c>
      <c r="R43" s="0" t="n">
        <v>0.054</v>
      </c>
      <c r="S43" s="0" t="n">
        <v>-0.116</v>
      </c>
      <c r="T43" s="0" t="s">
        <v>513</v>
      </c>
      <c r="U43" s="0" t="s">
        <v>386</v>
      </c>
    </row>
    <row r="44" customFormat="false" ht="15" hidden="false" customHeight="false" outlineLevel="0" collapsed="false">
      <c r="A44" s="0" t="s">
        <v>258</v>
      </c>
      <c r="B44" s="0" t="s">
        <v>259</v>
      </c>
      <c r="C44" s="0" t="s">
        <v>511</v>
      </c>
      <c r="D44" s="0" t="n">
        <v>2026</v>
      </c>
      <c r="E44" s="0" t="n">
        <v>3</v>
      </c>
      <c r="F44" s="0" t="n">
        <v>0.382</v>
      </c>
      <c r="G44" s="0" t="n">
        <v>0.229</v>
      </c>
      <c r="H44" s="0" t="n">
        <v>0.366</v>
      </c>
      <c r="I44" s="0" t="n">
        <v>0.977</v>
      </c>
      <c r="J44" s="0" t="n">
        <v>2.931</v>
      </c>
      <c r="K44" s="0" t="n">
        <v>0.466</v>
      </c>
      <c r="L44" s="0" t="n">
        <v>0.03</v>
      </c>
      <c r="M44" s="0" t="n">
        <v>1.473</v>
      </c>
      <c r="N44" s="0" t="n">
        <v>4.418</v>
      </c>
      <c r="O44" s="0" t="n">
        <v>2.455</v>
      </c>
      <c r="P44" s="0" t="n">
        <v>2.945</v>
      </c>
      <c r="Q44" s="0" t="n">
        <v>3.682</v>
      </c>
      <c r="R44" s="0" t="n">
        <v>0.264</v>
      </c>
      <c r="S44" s="0" t="n">
        <v>0.131</v>
      </c>
      <c r="T44" s="0" t="s">
        <v>513</v>
      </c>
      <c r="U44" s="0" t="s">
        <v>386</v>
      </c>
    </row>
    <row r="45" customFormat="false" ht="15" hidden="false" customHeight="false" outlineLevel="0" collapsed="false">
      <c r="A45" s="0" t="s">
        <v>258</v>
      </c>
      <c r="B45" s="0" t="s">
        <v>259</v>
      </c>
      <c r="C45" s="0" t="s">
        <v>511</v>
      </c>
      <c r="D45" s="0" t="n">
        <v>2027</v>
      </c>
      <c r="E45" s="0" t="n">
        <v>3</v>
      </c>
      <c r="F45" s="0" t="n">
        <v>0.382</v>
      </c>
      <c r="G45" s="0" t="n">
        <v>0.229</v>
      </c>
      <c r="H45" s="0" t="n">
        <v>0.732</v>
      </c>
      <c r="I45" s="0" t="n">
        <v>1.343</v>
      </c>
      <c r="J45" s="0" t="n">
        <v>4.029</v>
      </c>
      <c r="K45" s="0" t="n">
        <v>0.466</v>
      </c>
      <c r="L45" s="0" t="n">
        <v>0.03</v>
      </c>
      <c r="M45" s="0" t="n">
        <v>1.839</v>
      </c>
      <c r="N45" s="0" t="n">
        <v>5.516</v>
      </c>
      <c r="O45" s="0" t="n">
        <v>3.065</v>
      </c>
      <c r="P45" s="0" t="n">
        <v>3.677</v>
      </c>
      <c r="Q45" s="0" t="n">
        <v>4.597</v>
      </c>
      <c r="R45" s="0" t="n">
        <v>0.081</v>
      </c>
      <c r="S45" s="0" t="n">
        <v>-0.085</v>
      </c>
      <c r="T45" s="0" t="s">
        <v>513</v>
      </c>
      <c r="U45" s="0" t="s">
        <v>386</v>
      </c>
    </row>
    <row r="46" customFormat="false" ht="15" hidden="false" customHeight="false" outlineLevel="0" collapsed="false">
      <c r="A46" s="0" t="s">
        <v>258</v>
      </c>
      <c r="B46" s="0" t="s">
        <v>259</v>
      </c>
      <c r="C46" s="0" t="s">
        <v>511</v>
      </c>
      <c r="D46" s="0" t="n">
        <v>2026</v>
      </c>
      <c r="E46" s="0" t="n">
        <v>5</v>
      </c>
      <c r="F46" s="0" t="n">
        <v>0.382</v>
      </c>
      <c r="G46" s="0" t="n">
        <v>0.247</v>
      </c>
      <c r="H46" s="0" t="n">
        <v>0.366</v>
      </c>
      <c r="I46" s="0" t="n">
        <v>0.996</v>
      </c>
      <c r="J46" s="0" t="n">
        <v>4.978</v>
      </c>
      <c r="K46" s="0" t="n">
        <v>0.451</v>
      </c>
      <c r="L46" s="0" t="n">
        <v>0.03</v>
      </c>
      <c r="M46" s="0" t="n">
        <v>1.477</v>
      </c>
      <c r="N46" s="0" t="n">
        <v>7.386</v>
      </c>
      <c r="O46" s="0" t="n">
        <v>2.462</v>
      </c>
      <c r="P46" s="0" t="n">
        <v>2.954</v>
      </c>
      <c r="Q46" s="0" t="n">
        <v>3.693</v>
      </c>
      <c r="R46" s="0" t="n">
        <v>0.261</v>
      </c>
      <c r="S46" s="0" t="n">
        <v>0.128</v>
      </c>
      <c r="T46" s="0" t="s">
        <v>513</v>
      </c>
      <c r="U46" s="0" t="s">
        <v>386</v>
      </c>
    </row>
    <row r="47" customFormat="false" ht="15" hidden="false" customHeight="false" outlineLevel="0" collapsed="false">
      <c r="A47" s="0" t="s">
        <v>258</v>
      </c>
      <c r="B47" s="0" t="s">
        <v>259</v>
      </c>
      <c r="C47" s="0" t="s">
        <v>511</v>
      </c>
      <c r="D47" s="0" t="n">
        <v>2027</v>
      </c>
      <c r="E47" s="0" t="n">
        <v>5</v>
      </c>
      <c r="F47" s="0" t="n">
        <v>0.382</v>
      </c>
      <c r="G47" s="0" t="n">
        <v>0.247</v>
      </c>
      <c r="H47" s="0" t="n">
        <v>0.732</v>
      </c>
      <c r="I47" s="0" t="n">
        <v>1.362</v>
      </c>
      <c r="J47" s="0" t="n">
        <v>6.808</v>
      </c>
      <c r="K47" s="0" t="n">
        <v>0.451</v>
      </c>
      <c r="L47" s="0" t="n">
        <v>0.03</v>
      </c>
      <c r="M47" s="0" t="n">
        <v>1.843</v>
      </c>
      <c r="N47" s="0" t="n">
        <v>9.216</v>
      </c>
      <c r="O47" s="0" t="n">
        <v>3.072</v>
      </c>
      <c r="P47" s="0" t="n">
        <v>3.686</v>
      </c>
      <c r="Q47" s="0" t="n">
        <v>4.608</v>
      </c>
      <c r="R47" s="0" t="n">
        <v>0.078</v>
      </c>
      <c r="S47" s="0" t="n">
        <v>-0.087</v>
      </c>
      <c r="T47" s="0" t="s">
        <v>513</v>
      </c>
      <c r="U47" s="0" t="s">
        <v>386</v>
      </c>
    </row>
    <row r="48" customFormat="false" ht="15" hidden="false" customHeight="false" outlineLevel="0" collapsed="false">
      <c r="A48" s="0" t="s">
        <v>258</v>
      </c>
      <c r="B48" s="0" t="s">
        <v>259</v>
      </c>
      <c r="C48" s="0" t="s">
        <v>511</v>
      </c>
      <c r="D48" s="0" t="n">
        <v>2026</v>
      </c>
      <c r="E48" s="0" t="n">
        <v>10</v>
      </c>
      <c r="F48" s="0" t="n">
        <v>0.382</v>
      </c>
      <c r="G48" s="0" t="n">
        <v>0.294</v>
      </c>
      <c r="H48" s="0" t="n">
        <v>0.366</v>
      </c>
      <c r="I48" s="0" t="n">
        <v>1.042</v>
      </c>
      <c r="J48" s="0" t="n">
        <v>10.424</v>
      </c>
      <c r="K48" s="0" t="n">
        <v>0.441</v>
      </c>
      <c r="L48" s="0" t="n">
        <v>0.03</v>
      </c>
      <c r="M48" s="0" t="n">
        <v>1.513</v>
      </c>
      <c r="N48" s="0" t="n">
        <v>15.132</v>
      </c>
      <c r="O48" s="0" t="n">
        <v>2.522</v>
      </c>
      <c r="P48" s="0" t="n">
        <v>3.026</v>
      </c>
      <c r="Q48" s="0" t="n">
        <v>3.783</v>
      </c>
      <c r="R48" s="0" t="n">
        <v>0.243</v>
      </c>
      <c r="S48" s="0" t="n">
        <v>0.107</v>
      </c>
      <c r="T48" s="0" t="s">
        <v>513</v>
      </c>
      <c r="U48" s="0" t="s">
        <v>386</v>
      </c>
    </row>
    <row r="49" customFormat="false" ht="15" hidden="false" customHeight="false" outlineLevel="0" collapsed="false">
      <c r="A49" s="0" t="s">
        <v>258</v>
      </c>
      <c r="B49" s="0" t="s">
        <v>259</v>
      </c>
      <c r="C49" s="0" t="s">
        <v>511</v>
      </c>
      <c r="D49" s="0" t="n">
        <v>2027</v>
      </c>
      <c r="E49" s="0" t="n">
        <v>10</v>
      </c>
      <c r="F49" s="0" t="n">
        <v>0.382</v>
      </c>
      <c r="G49" s="0" t="n">
        <v>0.294</v>
      </c>
      <c r="H49" s="0" t="n">
        <v>0.732</v>
      </c>
      <c r="I49" s="0" t="n">
        <v>1.408</v>
      </c>
      <c r="J49" s="0" t="n">
        <v>14.084</v>
      </c>
      <c r="K49" s="0" t="n">
        <v>0.441</v>
      </c>
      <c r="L49" s="0" t="n">
        <v>0.03</v>
      </c>
      <c r="M49" s="0" t="n">
        <v>1.879</v>
      </c>
      <c r="N49" s="0" t="n">
        <v>18.792</v>
      </c>
      <c r="O49" s="0" t="n">
        <v>3.132</v>
      </c>
      <c r="P49" s="0" t="n">
        <v>3.758</v>
      </c>
      <c r="Q49" s="0" t="n">
        <v>4.698</v>
      </c>
      <c r="R49" s="0" t="n">
        <v>0.06</v>
      </c>
      <c r="S49" s="0" t="n">
        <v>-0.109</v>
      </c>
      <c r="T49" s="0" t="s">
        <v>513</v>
      </c>
      <c r="U49" s="0" t="s">
        <v>386</v>
      </c>
    </row>
    <row r="50" customFormat="false" ht="15" hidden="false" customHeight="false" outlineLevel="0" collapsed="false">
      <c r="A50" s="0" t="s">
        <v>261</v>
      </c>
      <c r="B50" s="0" t="s">
        <v>262</v>
      </c>
      <c r="C50" s="0" t="s">
        <v>514</v>
      </c>
      <c r="D50" s="0" t="n">
        <v>2026</v>
      </c>
      <c r="E50" s="0" t="n">
        <v>1</v>
      </c>
      <c r="F50" s="0" t="n">
        <v>0.195</v>
      </c>
      <c r="G50" s="0" t="n">
        <v>0.215</v>
      </c>
      <c r="H50" s="0" t="n">
        <v>0.599</v>
      </c>
      <c r="I50" s="0" t="n">
        <v>1.008</v>
      </c>
      <c r="J50" s="0" t="n">
        <v>1.008</v>
      </c>
      <c r="K50" s="0" t="n">
        <v>0.537</v>
      </c>
      <c r="L50" s="0" t="n">
        <v>0.03</v>
      </c>
      <c r="M50" s="0" t="n">
        <v>1.575</v>
      </c>
      <c r="N50" s="0" t="n">
        <v>1.575</v>
      </c>
      <c r="O50" s="0" t="n">
        <v>2.625</v>
      </c>
      <c r="P50" s="0" t="n">
        <v>3.15</v>
      </c>
      <c r="Q50" s="0" t="n">
        <v>3.938</v>
      </c>
      <c r="R50" s="0" t="n">
        <v>0.212</v>
      </c>
      <c r="S50" s="0" t="n">
        <v>0.071</v>
      </c>
      <c r="T50" s="0" t="s">
        <v>515</v>
      </c>
      <c r="U50" s="0" t="s">
        <v>515</v>
      </c>
    </row>
    <row r="51" customFormat="false" ht="15" hidden="false" customHeight="false" outlineLevel="0" collapsed="false">
      <c r="A51" s="0" t="s">
        <v>261</v>
      </c>
      <c r="B51" s="0" t="s">
        <v>262</v>
      </c>
      <c r="C51" s="0" t="s">
        <v>514</v>
      </c>
      <c r="D51" s="0" t="n">
        <v>2026</v>
      </c>
      <c r="E51" s="0" t="n">
        <v>3</v>
      </c>
      <c r="F51" s="0" t="n">
        <v>0.195</v>
      </c>
      <c r="G51" s="0" t="n">
        <v>0.246</v>
      </c>
      <c r="H51" s="0" t="n">
        <v>0.599</v>
      </c>
      <c r="I51" s="0" t="n">
        <v>1.039</v>
      </c>
      <c r="J51" s="0" t="n">
        <v>3.118</v>
      </c>
      <c r="K51" s="0" t="n">
        <v>0.466</v>
      </c>
      <c r="L51" s="0" t="n">
        <v>0.03</v>
      </c>
      <c r="M51" s="0" t="n">
        <v>1.535</v>
      </c>
      <c r="N51" s="0" t="n">
        <v>4.606</v>
      </c>
      <c r="O51" s="0" t="n">
        <v>2.559</v>
      </c>
      <c r="P51" s="0" t="n">
        <v>3.071</v>
      </c>
      <c r="Q51" s="0" t="n">
        <v>3.838</v>
      </c>
      <c r="R51" s="0" t="n">
        <v>0.232</v>
      </c>
      <c r="S51" s="0" t="n">
        <v>0.094</v>
      </c>
      <c r="T51" s="0" t="s">
        <v>515</v>
      </c>
      <c r="U51" s="0" t="s">
        <v>515</v>
      </c>
    </row>
    <row r="52" customFormat="false" ht="15" hidden="false" customHeight="false" outlineLevel="0" collapsed="false">
      <c r="A52" s="0" t="s">
        <v>261</v>
      </c>
      <c r="B52" s="0" t="s">
        <v>262</v>
      </c>
      <c r="C52" s="0" t="s">
        <v>514</v>
      </c>
      <c r="D52" s="0" t="n">
        <v>2026</v>
      </c>
      <c r="E52" s="0" t="n">
        <v>5</v>
      </c>
      <c r="F52" s="0" t="n">
        <v>0.195</v>
      </c>
      <c r="G52" s="0" t="n">
        <v>0.278</v>
      </c>
      <c r="H52" s="0" t="n">
        <v>0.599</v>
      </c>
      <c r="I52" s="0" t="n">
        <v>1.071</v>
      </c>
      <c r="J52" s="0" t="n">
        <v>5.357</v>
      </c>
      <c r="K52" s="0" t="n">
        <v>0.451</v>
      </c>
      <c r="L52" s="0" t="n">
        <v>0.03</v>
      </c>
      <c r="M52" s="0" t="n">
        <v>1.553</v>
      </c>
      <c r="N52" s="0" t="n">
        <v>7.764</v>
      </c>
      <c r="O52" s="0" t="n">
        <v>2.588</v>
      </c>
      <c r="P52" s="0" t="n">
        <v>3.106</v>
      </c>
      <c r="Q52" s="0" t="n">
        <v>3.882</v>
      </c>
      <c r="R52" s="0" t="n">
        <v>0.224</v>
      </c>
      <c r="S52" s="0" t="n">
        <v>0.084</v>
      </c>
      <c r="T52" s="0" t="s">
        <v>515</v>
      </c>
      <c r="U52" s="0" t="s">
        <v>515</v>
      </c>
    </row>
    <row r="53" customFormat="false" ht="15" hidden="false" customHeight="false" outlineLevel="0" collapsed="false">
      <c r="A53" s="0" t="s">
        <v>261</v>
      </c>
      <c r="B53" s="0" t="s">
        <v>262</v>
      </c>
      <c r="C53" s="0" t="s">
        <v>514</v>
      </c>
      <c r="D53" s="0" t="n">
        <v>2026</v>
      </c>
      <c r="E53" s="0" t="n">
        <v>10</v>
      </c>
      <c r="F53" s="0" t="n">
        <v>0.195</v>
      </c>
      <c r="G53" s="0" t="n">
        <v>0.358</v>
      </c>
      <c r="H53" s="0" t="n">
        <v>0.599</v>
      </c>
      <c r="I53" s="0" t="n">
        <v>1.151</v>
      </c>
      <c r="J53" s="0" t="n">
        <v>11.509</v>
      </c>
      <c r="K53" s="0" t="n">
        <v>0.441</v>
      </c>
      <c r="L53" s="0" t="n">
        <v>0.03</v>
      </c>
      <c r="M53" s="0" t="n">
        <v>1.622</v>
      </c>
      <c r="N53" s="0" t="n">
        <v>16.217</v>
      </c>
      <c r="O53" s="0" t="n">
        <v>2.703</v>
      </c>
      <c r="P53" s="0" t="n">
        <v>3.243</v>
      </c>
      <c r="Q53" s="0" t="n">
        <v>4.054</v>
      </c>
      <c r="R53" s="0" t="n">
        <v>0.189</v>
      </c>
      <c r="S53" s="0" t="n">
        <v>0.043</v>
      </c>
      <c r="T53" s="0" t="s">
        <v>515</v>
      </c>
      <c r="U53" s="0" t="s">
        <v>515</v>
      </c>
    </row>
    <row r="54" customFormat="false" ht="15" hidden="false" customHeight="false" outlineLevel="0" collapsed="false">
      <c r="A54" s="0" t="s">
        <v>263</v>
      </c>
      <c r="B54" s="0" t="s">
        <v>264</v>
      </c>
      <c r="C54" s="0" t="s">
        <v>516</v>
      </c>
      <c r="D54" s="0" t="n">
        <v>2026</v>
      </c>
      <c r="E54" s="0" t="n">
        <v>1</v>
      </c>
      <c r="F54" s="0" t="n">
        <v>0.158</v>
      </c>
      <c r="G54" s="0" t="n">
        <v>0.117</v>
      </c>
      <c r="H54" s="0" t="n">
        <v>0.234</v>
      </c>
      <c r="I54" s="0" t="n">
        <v>0.509</v>
      </c>
      <c r="J54" s="0" t="n">
        <v>0.509</v>
      </c>
      <c r="K54" s="0" t="n">
        <v>0.537</v>
      </c>
      <c r="L54" s="0" t="n">
        <v>0.03</v>
      </c>
      <c r="M54" s="0" t="n">
        <v>1.077</v>
      </c>
      <c r="N54" s="0" t="n">
        <v>1.077</v>
      </c>
      <c r="O54" s="0" t="n">
        <v>1.794</v>
      </c>
      <c r="P54" s="0" t="n">
        <v>2.153</v>
      </c>
      <c r="Q54" s="0" t="n">
        <v>2.692</v>
      </c>
      <c r="R54" s="0" t="n">
        <v>0.462</v>
      </c>
      <c r="S54" s="0" t="n">
        <v>0.365</v>
      </c>
      <c r="T54" s="0" t="s">
        <v>517</v>
      </c>
      <c r="U54" s="0" t="s">
        <v>515</v>
      </c>
    </row>
    <row r="55" customFormat="false" ht="15" hidden="false" customHeight="false" outlineLevel="0" collapsed="false">
      <c r="A55" s="0" t="s">
        <v>263</v>
      </c>
      <c r="B55" s="0" t="s">
        <v>264</v>
      </c>
      <c r="C55" s="0" t="s">
        <v>516</v>
      </c>
      <c r="D55" s="0" t="n">
        <v>2026</v>
      </c>
      <c r="E55" s="0" t="n">
        <v>3</v>
      </c>
      <c r="F55" s="0" t="n">
        <v>0.158</v>
      </c>
      <c r="G55" s="0" t="n">
        <v>0.132</v>
      </c>
      <c r="H55" s="0" t="n">
        <v>0.234</v>
      </c>
      <c r="I55" s="0" t="n">
        <v>0.525</v>
      </c>
      <c r="J55" s="0" t="n">
        <v>1.575</v>
      </c>
      <c r="K55" s="0" t="n">
        <v>0.466</v>
      </c>
      <c r="L55" s="0" t="n">
        <v>0.03</v>
      </c>
      <c r="M55" s="0" t="n">
        <v>1.021</v>
      </c>
      <c r="N55" s="0" t="n">
        <v>3.062</v>
      </c>
      <c r="O55" s="0" t="n">
        <v>1.701</v>
      </c>
      <c r="P55" s="0" t="n">
        <v>2.041</v>
      </c>
      <c r="Q55" s="0" t="n">
        <v>2.552</v>
      </c>
      <c r="R55" s="0" t="n">
        <v>0.49</v>
      </c>
      <c r="S55" s="0" t="n">
        <v>0.398</v>
      </c>
      <c r="T55" s="0" t="s">
        <v>517</v>
      </c>
      <c r="U55" s="0" t="s">
        <v>515</v>
      </c>
    </row>
    <row r="56" customFormat="false" ht="15" hidden="false" customHeight="false" outlineLevel="0" collapsed="false">
      <c r="A56" s="0" t="s">
        <v>263</v>
      </c>
      <c r="B56" s="0" t="s">
        <v>264</v>
      </c>
      <c r="C56" s="0" t="s">
        <v>516</v>
      </c>
      <c r="D56" s="0" t="n">
        <v>2026</v>
      </c>
      <c r="E56" s="0" t="n">
        <v>5</v>
      </c>
      <c r="F56" s="0" t="n">
        <v>0.158</v>
      </c>
      <c r="G56" s="0" t="n">
        <v>0.148</v>
      </c>
      <c r="H56" s="0" t="n">
        <v>0.234</v>
      </c>
      <c r="I56" s="0" t="n">
        <v>0.541</v>
      </c>
      <c r="J56" s="0" t="n">
        <v>2.703</v>
      </c>
      <c r="K56" s="0" t="n">
        <v>0.451</v>
      </c>
      <c r="L56" s="0" t="n">
        <v>0.03</v>
      </c>
      <c r="M56" s="0" t="n">
        <v>1.022</v>
      </c>
      <c r="N56" s="0" t="n">
        <v>5.11</v>
      </c>
      <c r="O56" s="0" t="n">
        <v>1.703</v>
      </c>
      <c r="P56" s="0" t="n">
        <v>2.044</v>
      </c>
      <c r="Q56" s="0" t="n">
        <v>2.555</v>
      </c>
      <c r="R56" s="0" t="n">
        <v>0.489</v>
      </c>
      <c r="S56" s="0" t="n">
        <v>0.397</v>
      </c>
      <c r="T56" s="0" t="s">
        <v>517</v>
      </c>
      <c r="U56" s="0" t="s">
        <v>515</v>
      </c>
    </row>
    <row r="57" customFormat="false" ht="15" hidden="false" customHeight="false" outlineLevel="0" collapsed="false">
      <c r="A57" s="0" t="s">
        <v>263</v>
      </c>
      <c r="B57" s="0" t="s">
        <v>264</v>
      </c>
      <c r="C57" s="0" t="s">
        <v>516</v>
      </c>
      <c r="D57" s="0" t="n">
        <v>2026</v>
      </c>
      <c r="E57" s="0" t="n">
        <v>10</v>
      </c>
      <c r="F57" s="0" t="n">
        <v>0.158</v>
      </c>
      <c r="G57" s="0" t="n">
        <v>0.187</v>
      </c>
      <c r="H57" s="0" t="n">
        <v>0.234</v>
      </c>
      <c r="I57" s="0" t="n">
        <v>0.58</v>
      </c>
      <c r="J57" s="0" t="n">
        <v>5.798</v>
      </c>
      <c r="K57" s="0" t="n">
        <v>0.441</v>
      </c>
      <c r="L57" s="0" t="n">
        <v>0.03</v>
      </c>
      <c r="M57" s="0" t="n">
        <v>1.051</v>
      </c>
      <c r="N57" s="0" t="n">
        <v>10.506</v>
      </c>
      <c r="O57" s="0" t="n">
        <v>1.751</v>
      </c>
      <c r="P57" s="0" t="n">
        <v>2.101</v>
      </c>
      <c r="Q57" s="0" t="n">
        <v>2.626</v>
      </c>
      <c r="R57" s="0" t="n">
        <v>0.475</v>
      </c>
      <c r="S57" s="0" t="n">
        <v>0.38</v>
      </c>
      <c r="T57" s="0" t="s">
        <v>517</v>
      </c>
      <c r="U57" s="0" t="s">
        <v>515</v>
      </c>
    </row>
    <row r="58" customFormat="false" ht="15" hidden="false" customHeight="false" outlineLevel="0" collapsed="false">
      <c r="A58" s="0" t="s">
        <v>265</v>
      </c>
      <c r="B58" s="0" t="s">
        <v>266</v>
      </c>
      <c r="C58" s="0" t="s">
        <v>518</v>
      </c>
      <c r="D58" s="0" t="n">
        <v>2026</v>
      </c>
      <c r="E58" s="0" t="n">
        <v>1</v>
      </c>
      <c r="F58" s="0" t="n">
        <v>0.047</v>
      </c>
      <c r="G58" s="0" t="n">
        <v>0.215</v>
      </c>
      <c r="H58" s="0" t="n">
        <v>0.139</v>
      </c>
      <c r="I58" s="0" t="n">
        <v>0.4</v>
      </c>
      <c r="J58" s="0" t="n">
        <v>0.4</v>
      </c>
      <c r="K58" s="0" t="n">
        <v>0.537</v>
      </c>
      <c r="L58" s="0" t="n">
        <v>0.03</v>
      </c>
      <c r="M58" s="0" t="n">
        <v>0.968</v>
      </c>
      <c r="N58" s="0" t="n">
        <v>0.968</v>
      </c>
      <c r="O58" s="0" t="n">
        <v>1.613</v>
      </c>
      <c r="P58" s="0" t="n">
        <v>1.936</v>
      </c>
      <c r="Q58" s="0" t="n">
        <v>2.419</v>
      </c>
      <c r="R58" s="0" t="n">
        <v>0.516</v>
      </c>
      <c r="S58" s="0" t="n">
        <v>0.429</v>
      </c>
      <c r="T58" s="0" t="s">
        <v>519</v>
      </c>
      <c r="U58" s="0" t="s">
        <v>515</v>
      </c>
    </row>
    <row r="59" customFormat="false" ht="15" hidden="false" customHeight="false" outlineLevel="0" collapsed="false">
      <c r="A59" s="0" t="s">
        <v>265</v>
      </c>
      <c r="B59" s="0" t="s">
        <v>266</v>
      </c>
      <c r="C59" s="0" t="s">
        <v>518</v>
      </c>
      <c r="D59" s="0" t="n">
        <v>2026</v>
      </c>
      <c r="E59" s="0" t="n">
        <v>3</v>
      </c>
      <c r="F59" s="0" t="n">
        <v>0.047</v>
      </c>
      <c r="G59" s="0" t="n">
        <v>0.246</v>
      </c>
      <c r="H59" s="0" t="n">
        <v>0.139</v>
      </c>
      <c r="I59" s="0" t="n">
        <v>0.432</v>
      </c>
      <c r="J59" s="0" t="n">
        <v>1.296</v>
      </c>
      <c r="K59" s="0" t="n">
        <v>0.466</v>
      </c>
      <c r="L59" s="0" t="n">
        <v>0.03</v>
      </c>
      <c r="M59" s="0" t="n">
        <v>0.928</v>
      </c>
      <c r="N59" s="0" t="n">
        <v>2.784</v>
      </c>
      <c r="O59" s="0" t="n">
        <v>1.547</v>
      </c>
      <c r="P59" s="0" t="n">
        <v>1.856</v>
      </c>
      <c r="Q59" s="0" t="n">
        <v>2.32</v>
      </c>
      <c r="R59" s="0" t="n">
        <v>0.536</v>
      </c>
      <c r="S59" s="0" t="n">
        <v>0.453</v>
      </c>
      <c r="T59" s="0" t="s">
        <v>519</v>
      </c>
      <c r="U59" s="0" t="s">
        <v>515</v>
      </c>
    </row>
    <row r="60" customFormat="false" ht="15" hidden="false" customHeight="false" outlineLevel="0" collapsed="false">
      <c r="A60" s="0" t="s">
        <v>265</v>
      </c>
      <c r="B60" s="0" t="s">
        <v>266</v>
      </c>
      <c r="C60" s="0" t="s">
        <v>518</v>
      </c>
      <c r="D60" s="0" t="n">
        <v>2026</v>
      </c>
      <c r="E60" s="0" t="n">
        <v>5</v>
      </c>
      <c r="F60" s="0" t="n">
        <v>0.047</v>
      </c>
      <c r="G60" s="0" t="n">
        <v>0.278</v>
      </c>
      <c r="H60" s="0" t="n">
        <v>0.139</v>
      </c>
      <c r="I60" s="0" t="n">
        <v>0.464</v>
      </c>
      <c r="J60" s="0" t="n">
        <v>2.32</v>
      </c>
      <c r="K60" s="0" t="n">
        <v>0.451</v>
      </c>
      <c r="L60" s="0" t="n">
        <v>0.03</v>
      </c>
      <c r="M60" s="0" t="n">
        <v>0.945</v>
      </c>
      <c r="N60" s="0" t="n">
        <v>4.727</v>
      </c>
      <c r="O60" s="0" t="n">
        <v>1.576</v>
      </c>
      <c r="P60" s="0" t="n">
        <v>1.891</v>
      </c>
      <c r="Q60" s="0" t="n">
        <v>2.364</v>
      </c>
      <c r="R60" s="0" t="n">
        <v>0.527</v>
      </c>
      <c r="S60" s="0" t="n">
        <v>0.442</v>
      </c>
      <c r="T60" s="0" t="s">
        <v>519</v>
      </c>
      <c r="U60" s="0" t="s">
        <v>515</v>
      </c>
    </row>
    <row r="61" customFormat="false" ht="15" hidden="false" customHeight="false" outlineLevel="0" collapsed="false">
      <c r="A61" s="0" t="s">
        <v>265</v>
      </c>
      <c r="B61" s="0" t="s">
        <v>266</v>
      </c>
      <c r="C61" s="0" t="s">
        <v>518</v>
      </c>
      <c r="D61" s="0" t="n">
        <v>2026</v>
      </c>
      <c r="E61" s="0" t="n">
        <v>10</v>
      </c>
      <c r="F61" s="0" t="n">
        <v>0.047</v>
      </c>
      <c r="G61" s="0" t="n">
        <v>0.358</v>
      </c>
      <c r="H61" s="0" t="n">
        <v>0.139</v>
      </c>
      <c r="I61" s="0" t="n">
        <v>0.544</v>
      </c>
      <c r="J61" s="0" t="n">
        <v>5.436</v>
      </c>
      <c r="K61" s="0" t="n">
        <v>0.441</v>
      </c>
      <c r="L61" s="0" t="n">
        <v>0.03</v>
      </c>
      <c r="M61" s="0" t="n">
        <v>1.014</v>
      </c>
      <c r="N61" s="0" t="n">
        <v>10.143</v>
      </c>
      <c r="O61" s="0" t="n">
        <v>1.691</v>
      </c>
      <c r="P61" s="0" t="n">
        <v>2.029</v>
      </c>
      <c r="Q61" s="0" t="n">
        <v>2.536</v>
      </c>
      <c r="R61" s="0" t="n">
        <v>0.493</v>
      </c>
      <c r="S61" s="0" t="n">
        <v>0.402</v>
      </c>
      <c r="T61" s="0" t="s">
        <v>519</v>
      </c>
      <c r="U61" s="0" t="s">
        <v>515</v>
      </c>
    </row>
    <row r="62" customFormat="false" ht="15" hidden="false" customHeight="false" outlineLevel="0" collapsed="false">
      <c r="A62" s="0" t="s">
        <v>321</v>
      </c>
      <c r="B62" s="0" t="s">
        <v>520</v>
      </c>
      <c r="C62" s="0" t="s">
        <v>521</v>
      </c>
      <c r="D62" s="0" t="n">
        <v>2026</v>
      </c>
      <c r="E62" s="0" t="n">
        <v>1</v>
      </c>
      <c r="F62" s="0" t="n">
        <v>0</v>
      </c>
      <c r="G62" s="0" t="n">
        <v>2.162</v>
      </c>
      <c r="H62" s="0" t="n">
        <v>0</v>
      </c>
      <c r="I62" s="0" t="n">
        <v>2.162</v>
      </c>
      <c r="J62" s="0" t="n">
        <v>2.162</v>
      </c>
      <c r="K62" s="0" t="n">
        <v>0.537</v>
      </c>
      <c r="L62" s="0" t="n">
        <v>0.03</v>
      </c>
      <c r="M62" s="0" t="n">
        <v>2.729</v>
      </c>
      <c r="N62" s="0" t="n">
        <v>2.729</v>
      </c>
      <c r="O62" s="0" t="n">
        <v>4.549</v>
      </c>
      <c r="P62" s="0" t="n">
        <v>5.459</v>
      </c>
      <c r="Q62" s="0" t="n">
        <v>6.824</v>
      </c>
      <c r="R62" s="0" t="n">
        <v>-0.365</v>
      </c>
      <c r="S62" s="0" t="n">
        <v>-0.61</v>
      </c>
      <c r="T62" s="0" t="s">
        <v>522</v>
      </c>
      <c r="U62" s="0" t="s">
        <v>523</v>
      </c>
    </row>
    <row r="63" customFormat="false" ht="15" hidden="false" customHeight="false" outlineLevel="0" collapsed="false">
      <c r="A63" s="0" t="s">
        <v>321</v>
      </c>
      <c r="B63" s="0" t="s">
        <v>520</v>
      </c>
      <c r="C63" s="0" t="s">
        <v>521</v>
      </c>
      <c r="D63" s="0" t="n">
        <v>2026</v>
      </c>
      <c r="E63" s="0" t="n">
        <v>3</v>
      </c>
      <c r="F63" s="0" t="n">
        <v>0</v>
      </c>
      <c r="G63" s="0" t="n">
        <v>4.146</v>
      </c>
      <c r="H63" s="0" t="n">
        <v>0</v>
      </c>
      <c r="I63" s="0" t="n">
        <v>4.146</v>
      </c>
      <c r="J63" s="0" t="n">
        <v>12.438</v>
      </c>
      <c r="K63" s="0" t="n">
        <v>0.466</v>
      </c>
      <c r="L63" s="0" t="n">
        <v>0.03</v>
      </c>
      <c r="M63" s="0" t="n">
        <v>4.642</v>
      </c>
      <c r="N63" s="0" t="n">
        <v>13.925</v>
      </c>
      <c r="O63" s="0" t="n">
        <v>7.736</v>
      </c>
      <c r="P63" s="0" t="n">
        <v>9.284</v>
      </c>
      <c r="Q63" s="0" t="n">
        <v>11.605</v>
      </c>
      <c r="R63" s="0" t="n">
        <v>-1.321</v>
      </c>
      <c r="S63" s="0" t="n">
        <v>-1.739</v>
      </c>
      <c r="T63" s="0" t="s">
        <v>522</v>
      </c>
      <c r="U63" s="0" t="s">
        <v>523</v>
      </c>
    </row>
    <row r="64" customFormat="false" ht="15" hidden="false" customHeight="false" outlineLevel="0" collapsed="false">
      <c r="A64" s="0" t="s">
        <v>321</v>
      </c>
      <c r="B64" s="0" t="s">
        <v>520</v>
      </c>
      <c r="C64" s="0" t="s">
        <v>521</v>
      </c>
      <c r="D64" s="0" t="n">
        <v>2026</v>
      </c>
      <c r="E64" s="0" t="n">
        <v>5</v>
      </c>
      <c r="F64" s="0" t="n">
        <v>0</v>
      </c>
      <c r="G64" s="0" t="n">
        <v>6.096</v>
      </c>
      <c r="H64" s="0" t="n">
        <v>0</v>
      </c>
      <c r="I64" s="0" t="n">
        <v>6.096</v>
      </c>
      <c r="J64" s="0" t="n">
        <v>30.479</v>
      </c>
      <c r="K64" s="0" t="n">
        <v>0.451</v>
      </c>
      <c r="L64" s="0" t="n">
        <v>0.03</v>
      </c>
      <c r="M64" s="0" t="n">
        <v>6.577</v>
      </c>
      <c r="N64" s="0" t="n">
        <v>32.887</v>
      </c>
      <c r="O64" s="0" t="n">
        <v>10.962</v>
      </c>
      <c r="P64" s="0" t="n">
        <v>13.155</v>
      </c>
      <c r="Q64" s="0" t="n">
        <v>16.443</v>
      </c>
      <c r="R64" s="0" t="n">
        <v>-2.289</v>
      </c>
      <c r="S64" s="0" t="n">
        <v>-2.881</v>
      </c>
      <c r="T64" s="0" t="s">
        <v>522</v>
      </c>
      <c r="U64" s="0" t="s">
        <v>523</v>
      </c>
    </row>
    <row r="65" customFormat="false" ht="15" hidden="false" customHeight="false" outlineLevel="0" collapsed="false">
      <c r="A65" s="0" t="s">
        <v>321</v>
      </c>
      <c r="B65" s="0" t="s">
        <v>520</v>
      </c>
      <c r="C65" s="0" t="s">
        <v>521</v>
      </c>
      <c r="D65" s="0" t="n">
        <v>2026</v>
      </c>
      <c r="E65" s="0" t="n">
        <v>10</v>
      </c>
      <c r="F65" s="0" t="n">
        <v>0</v>
      </c>
      <c r="G65" s="0" t="n">
        <v>10.304</v>
      </c>
      <c r="H65" s="0" t="n">
        <v>0</v>
      </c>
      <c r="I65" s="0" t="n">
        <v>10.304</v>
      </c>
      <c r="J65" s="0" t="n">
        <v>103.036</v>
      </c>
      <c r="K65" s="0" t="n">
        <v>0.441</v>
      </c>
      <c r="L65" s="0" t="n">
        <v>0.03</v>
      </c>
      <c r="M65" s="0" t="n">
        <v>10.774</v>
      </c>
      <c r="N65" s="0" t="n">
        <v>107.744</v>
      </c>
      <c r="O65" s="0" t="n">
        <v>17.957</v>
      </c>
      <c r="P65" s="0" t="n">
        <v>21.549</v>
      </c>
      <c r="Q65" s="0" t="n">
        <v>26.936</v>
      </c>
      <c r="R65" s="0" t="n">
        <v>-4.387</v>
      </c>
      <c r="S65" s="0" t="n">
        <v>-5.357</v>
      </c>
      <c r="T65" s="0" t="s">
        <v>522</v>
      </c>
      <c r="U65" s="0" t="s">
        <v>523</v>
      </c>
    </row>
    <row r="66" customFormat="false" ht="15" hidden="false" customHeight="false" outlineLevel="0" collapsed="false">
      <c r="A66" s="0" t="s">
        <v>322</v>
      </c>
      <c r="B66" s="0" t="s">
        <v>524</v>
      </c>
      <c r="C66" s="0" t="s">
        <v>521</v>
      </c>
      <c r="D66" s="0" t="n">
        <v>2026</v>
      </c>
      <c r="E66" s="0" t="n">
        <v>1</v>
      </c>
      <c r="F66" s="0" t="n">
        <v>0</v>
      </c>
      <c r="G66" s="0" t="n">
        <v>2.975</v>
      </c>
      <c r="H66" s="0" t="n">
        <v>0</v>
      </c>
      <c r="I66" s="0" t="n">
        <v>2.975</v>
      </c>
      <c r="J66" s="0" t="n">
        <v>2.975</v>
      </c>
      <c r="K66" s="0" t="n">
        <v>0.537</v>
      </c>
      <c r="L66" s="0" t="n">
        <v>0.03</v>
      </c>
      <c r="M66" s="0" t="n">
        <v>3.542</v>
      </c>
      <c r="N66" s="0" t="n">
        <v>3.542</v>
      </c>
      <c r="O66" s="0" t="n">
        <v>5.904</v>
      </c>
      <c r="P66" s="0" t="n">
        <v>7.085</v>
      </c>
      <c r="Q66" s="0" t="n">
        <v>8.856</v>
      </c>
      <c r="R66" s="0" t="n">
        <v>-0.771</v>
      </c>
      <c r="S66" s="0" t="n">
        <v>-1.09</v>
      </c>
      <c r="T66" s="0" t="s">
        <v>525</v>
      </c>
      <c r="U66" s="0" t="s">
        <v>526</v>
      </c>
    </row>
    <row r="67" customFormat="false" ht="15" hidden="false" customHeight="false" outlineLevel="0" collapsed="false">
      <c r="A67" s="0" t="s">
        <v>322</v>
      </c>
      <c r="B67" s="0" t="s">
        <v>524</v>
      </c>
      <c r="C67" s="0" t="s">
        <v>521</v>
      </c>
      <c r="D67" s="0" t="n">
        <v>2026</v>
      </c>
      <c r="E67" s="0" t="n">
        <v>3</v>
      </c>
      <c r="F67" s="0" t="n">
        <v>0</v>
      </c>
      <c r="G67" s="0" t="n">
        <v>5.713</v>
      </c>
      <c r="H67" s="0" t="n">
        <v>0</v>
      </c>
      <c r="I67" s="0" t="n">
        <v>5.713</v>
      </c>
      <c r="J67" s="0" t="n">
        <v>17.14</v>
      </c>
      <c r="K67" s="0" t="n">
        <v>0.466</v>
      </c>
      <c r="L67" s="0" t="n">
        <v>0.03</v>
      </c>
      <c r="M67" s="0" t="n">
        <v>6.209</v>
      </c>
      <c r="N67" s="0" t="n">
        <v>18.627</v>
      </c>
      <c r="O67" s="0" t="n">
        <v>10.349</v>
      </c>
      <c r="P67" s="0" t="n">
        <v>12.418</v>
      </c>
      <c r="Q67" s="0" t="n">
        <v>15.523</v>
      </c>
      <c r="R67" s="0" t="n">
        <v>-2.105</v>
      </c>
      <c r="S67" s="0" t="n">
        <v>-2.663</v>
      </c>
      <c r="T67" s="0" t="s">
        <v>525</v>
      </c>
      <c r="U67" s="0" t="s">
        <v>526</v>
      </c>
    </row>
    <row r="68" customFormat="false" ht="15" hidden="false" customHeight="false" outlineLevel="0" collapsed="false">
      <c r="A68" s="0" t="s">
        <v>322</v>
      </c>
      <c r="B68" s="0" t="s">
        <v>524</v>
      </c>
      <c r="C68" s="0" t="s">
        <v>521</v>
      </c>
      <c r="D68" s="0" t="n">
        <v>2026</v>
      </c>
      <c r="E68" s="0" t="n">
        <v>5</v>
      </c>
      <c r="F68" s="0" t="n">
        <v>0</v>
      </c>
      <c r="G68" s="0" t="n">
        <v>7.974</v>
      </c>
      <c r="H68" s="0" t="n">
        <v>0</v>
      </c>
      <c r="I68" s="0" t="n">
        <v>7.974</v>
      </c>
      <c r="J68" s="0" t="n">
        <v>39.872</v>
      </c>
      <c r="K68" s="0" t="n">
        <v>0.451</v>
      </c>
      <c r="L68" s="0" t="n">
        <v>0.03</v>
      </c>
      <c r="M68" s="0" t="n">
        <v>8.456</v>
      </c>
      <c r="N68" s="0" t="n">
        <v>42.279</v>
      </c>
      <c r="O68" s="0" t="n">
        <v>14.093</v>
      </c>
      <c r="P68" s="0" t="n">
        <v>16.912</v>
      </c>
      <c r="Q68" s="0" t="n">
        <v>21.14</v>
      </c>
      <c r="R68" s="0" t="n">
        <v>-3.228</v>
      </c>
      <c r="S68" s="0" t="n">
        <v>-3.989</v>
      </c>
      <c r="T68" s="0" t="s">
        <v>525</v>
      </c>
      <c r="U68" s="0" t="s">
        <v>526</v>
      </c>
    </row>
    <row r="69" customFormat="false" ht="15" hidden="false" customHeight="false" outlineLevel="0" collapsed="false">
      <c r="A69" s="0" t="s">
        <v>322</v>
      </c>
      <c r="B69" s="0" t="s">
        <v>524</v>
      </c>
      <c r="C69" s="0" t="s">
        <v>521</v>
      </c>
      <c r="D69" s="0" t="n">
        <v>2026</v>
      </c>
      <c r="E69" s="0" t="n">
        <v>10</v>
      </c>
      <c r="F69" s="0" t="n">
        <v>0</v>
      </c>
      <c r="G69" s="0" t="n">
        <v>14.083</v>
      </c>
      <c r="H69" s="0" t="n">
        <v>0</v>
      </c>
      <c r="I69" s="0" t="n">
        <v>14.083</v>
      </c>
      <c r="J69" s="0" t="n">
        <v>140.831</v>
      </c>
      <c r="K69" s="0" t="n">
        <v>0.441</v>
      </c>
      <c r="L69" s="0" t="n">
        <v>0.03</v>
      </c>
      <c r="M69" s="0" t="n">
        <v>14.554</v>
      </c>
      <c r="N69" s="0" t="n">
        <v>145.539</v>
      </c>
      <c r="O69" s="0" t="n">
        <v>24.256</v>
      </c>
      <c r="P69" s="0" t="n">
        <v>29.108</v>
      </c>
      <c r="Q69" s="0" t="n">
        <v>36.385</v>
      </c>
      <c r="R69" s="0" t="n">
        <v>-6.277</v>
      </c>
      <c r="S69" s="0" t="n">
        <v>-7.587</v>
      </c>
      <c r="T69" s="0" t="s">
        <v>525</v>
      </c>
      <c r="U69" s="0" t="s">
        <v>526</v>
      </c>
    </row>
    <row r="70" customFormat="false" ht="15" hidden="false" customHeight="false" outlineLevel="0" collapsed="false">
      <c r="A70" s="0" t="s">
        <v>323</v>
      </c>
      <c r="B70" s="0" t="s">
        <v>527</v>
      </c>
      <c r="C70" s="0" t="s">
        <v>521</v>
      </c>
      <c r="D70" s="0" t="n">
        <v>2026</v>
      </c>
      <c r="E70" s="0" t="n">
        <v>1</v>
      </c>
      <c r="F70" s="0" t="n">
        <v>0</v>
      </c>
      <c r="G70" s="0" t="n">
        <v>2.975</v>
      </c>
      <c r="H70" s="0" t="n">
        <v>0</v>
      </c>
      <c r="I70" s="0" t="n">
        <v>2.975</v>
      </c>
      <c r="J70" s="0" t="n">
        <v>2.975</v>
      </c>
      <c r="K70" s="0" t="n">
        <v>0.537</v>
      </c>
      <c r="L70" s="0" t="n">
        <v>0.03</v>
      </c>
      <c r="M70" s="0" t="n">
        <v>3.542</v>
      </c>
      <c r="N70" s="0" t="n">
        <v>3.542</v>
      </c>
      <c r="O70" s="0" t="n">
        <v>5.904</v>
      </c>
      <c r="P70" s="0" t="n">
        <v>7.085</v>
      </c>
      <c r="Q70" s="0" t="n">
        <v>8.856</v>
      </c>
      <c r="R70" s="0" t="n">
        <v>-0.771</v>
      </c>
      <c r="S70" s="0" t="n">
        <v>-1.09</v>
      </c>
      <c r="T70" s="0" t="s">
        <v>528</v>
      </c>
      <c r="U70" s="0" t="s">
        <v>528</v>
      </c>
    </row>
    <row r="71" customFormat="false" ht="15" hidden="false" customHeight="false" outlineLevel="0" collapsed="false">
      <c r="A71" s="0" t="s">
        <v>323</v>
      </c>
      <c r="B71" s="0" t="s">
        <v>527</v>
      </c>
      <c r="C71" s="0" t="s">
        <v>521</v>
      </c>
      <c r="D71" s="0" t="n">
        <v>2026</v>
      </c>
      <c r="E71" s="0" t="n">
        <v>3</v>
      </c>
      <c r="F71" s="0" t="n">
        <v>0</v>
      </c>
      <c r="G71" s="0" t="n">
        <v>5.713</v>
      </c>
      <c r="H71" s="0" t="n">
        <v>0</v>
      </c>
      <c r="I71" s="0" t="n">
        <v>5.713</v>
      </c>
      <c r="J71" s="0" t="n">
        <v>17.14</v>
      </c>
      <c r="K71" s="0" t="n">
        <v>0.466</v>
      </c>
      <c r="L71" s="0" t="n">
        <v>0.03</v>
      </c>
      <c r="M71" s="0" t="n">
        <v>6.209</v>
      </c>
      <c r="N71" s="0" t="n">
        <v>18.627</v>
      </c>
      <c r="O71" s="0" t="n">
        <v>10.349</v>
      </c>
      <c r="P71" s="0" t="n">
        <v>12.418</v>
      </c>
      <c r="Q71" s="0" t="n">
        <v>15.523</v>
      </c>
      <c r="R71" s="0" t="n">
        <v>-2.105</v>
      </c>
      <c r="S71" s="0" t="n">
        <v>-2.663</v>
      </c>
      <c r="T71" s="0" t="s">
        <v>528</v>
      </c>
      <c r="U71" s="0" t="s">
        <v>528</v>
      </c>
    </row>
    <row r="72" customFormat="false" ht="15" hidden="false" customHeight="false" outlineLevel="0" collapsed="false">
      <c r="A72" s="0" t="s">
        <v>323</v>
      </c>
      <c r="B72" s="0" t="s">
        <v>527</v>
      </c>
      <c r="C72" s="0" t="s">
        <v>521</v>
      </c>
      <c r="D72" s="0" t="n">
        <v>2026</v>
      </c>
      <c r="E72" s="0" t="n">
        <v>5</v>
      </c>
      <c r="F72" s="0" t="n">
        <v>0</v>
      </c>
      <c r="G72" s="0" t="n">
        <v>7.974</v>
      </c>
      <c r="H72" s="0" t="n">
        <v>0</v>
      </c>
      <c r="I72" s="0" t="n">
        <v>7.974</v>
      </c>
      <c r="J72" s="0" t="n">
        <v>39.872</v>
      </c>
      <c r="K72" s="0" t="n">
        <v>0.451</v>
      </c>
      <c r="L72" s="0" t="n">
        <v>0.03</v>
      </c>
      <c r="M72" s="0" t="n">
        <v>8.456</v>
      </c>
      <c r="N72" s="0" t="n">
        <v>42.279</v>
      </c>
      <c r="O72" s="0" t="n">
        <v>14.093</v>
      </c>
      <c r="P72" s="0" t="n">
        <v>16.912</v>
      </c>
      <c r="Q72" s="0" t="n">
        <v>21.14</v>
      </c>
      <c r="R72" s="0" t="n">
        <v>-3.228</v>
      </c>
      <c r="S72" s="0" t="n">
        <v>-3.989</v>
      </c>
      <c r="T72" s="0" t="s">
        <v>528</v>
      </c>
      <c r="U72" s="0" t="s">
        <v>528</v>
      </c>
    </row>
    <row r="73" customFormat="false" ht="15" hidden="false" customHeight="false" outlineLevel="0" collapsed="false">
      <c r="A73" s="0" t="s">
        <v>323</v>
      </c>
      <c r="B73" s="0" t="s">
        <v>527</v>
      </c>
      <c r="C73" s="0" t="s">
        <v>521</v>
      </c>
      <c r="D73" s="0" t="n">
        <v>2026</v>
      </c>
      <c r="E73" s="0" t="n">
        <v>10</v>
      </c>
      <c r="F73" s="0" t="n">
        <v>0</v>
      </c>
      <c r="G73" s="0" t="n">
        <v>9.367</v>
      </c>
      <c r="H73" s="0" t="n">
        <v>0</v>
      </c>
      <c r="I73" s="0" t="n">
        <v>9.367</v>
      </c>
      <c r="J73" s="0" t="n">
        <v>93.665</v>
      </c>
      <c r="K73" s="0" t="n">
        <v>0.441</v>
      </c>
      <c r="L73" s="0" t="n">
        <v>0.03</v>
      </c>
      <c r="M73" s="0" t="n">
        <v>9.837</v>
      </c>
      <c r="N73" s="0" t="n">
        <v>98.373</v>
      </c>
      <c r="O73" s="0" t="n">
        <v>16.395</v>
      </c>
      <c r="P73" s="0" t="n">
        <v>19.675</v>
      </c>
      <c r="Q73" s="0" t="n">
        <v>24.593</v>
      </c>
      <c r="R73" s="0" t="n">
        <v>-3.919</v>
      </c>
      <c r="S73" s="0" t="n">
        <v>-4.804</v>
      </c>
      <c r="T73" s="0" t="s">
        <v>528</v>
      </c>
      <c r="U73" s="0" t="s">
        <v>528</v>
      </c>
    </row>
    <row r="74" customFormat="false" ht="15" hidden="false" customHeight="false" outlineLevel="0" collapsed="false">
      <c r="A74" s="0" t="s">
        <v>324</v>
      </c>
      <c r="B74" s="0" t="s">
        <v>529</v>
      </c>
      <c r="C74" s="0" t="s">
        <v>530</v>
      </c>
      <c r="D74" s="0" t="n">
        <v>2026</v>
      </c>
      <c r="E74" s="0" t="n">
        <v>1</v>
      </c>
      <c r="F74" s="0" t="n">
        <v>0</v>
      </c>
      <c r="G74" s="0" t="n">
        <v>1.811</v>
      </c>
      <c r="H74" s="0" t="n">
        <v>0</v>
      </c>
      <c r="I74" s="0" t="n">
        <v>1.811</v>
      </c>
      <c r="J74" s="0" t="n">
        <v>1.811</v>
      </c>
      <c r="K74" s="0" t="n">
        <v>0.537</v>
      </c>
      <c r="L74" s="0" t="n">
        <v>0.03</v>
      </c>
      <c r="M74" s="0" t="n">
        <v>2.378</v>
      </c>
      <c r="N74" s="0" t="n">
        <v>2.378</v>
      </c>
      <c r="O74" s="0" t="n">
        <v>3.964</v>
      </c>
      <c r="P74" s="0" t="n">
        <v>4.757</v>
      </c>
      <c r="Q74" s="0" t="n">
        <v>5.946</v>
      </c>
      <c r="R74" s="0" t="n">
        <v>-0.189</v>
      </c>
      <c r="S74" s="0" t="n">
        <v>-0.403</v>
      </c>
      <c r="T74" s="0" t="s">
        <v>531</v>
      </c>
      <c r="U74" s="0" t="s">
        <v>515</v>
      </c>
    </row>
    <row r="75" customFormat="false" ht="15" hidden="false" customHeight="false" outlineLevel="0" collapsed="false">
      <c r="A75" s="0" t="s">
        <v>324</v>
      </c>
      <c r="B75" s="0" t="s">
        <v>529</v>
      </c>
      <c r="C75" s="0" t="s">
        <v>530</v>
      </c>
      <c r="D75" s="0" t="n">
        <v>2026</v>
      </c>
      <c r="E75" s="0" t="n">
        <v>3</v>
      </c>
      <c r="F75" s="0" t="n">
        <v>0</v>
      </c>
      <c r="G75" s="0" t="n">
        <v>1.911</v>
      </c>
      <c r="H75" s="0" t="n">
        <v>0</v>
      </c>
      <c r="I75" s="0" t="n">
        <v>1.911</v>
      </c>
      <c r="J75" s="0" t="n">
        <v>5.733</v>
      </c>
      <c r="K75" s="0" t="n">
        <v>0.466</v>
      </c>
      <c r="L75" s="0" t="n">
        <v>0.03</v>
      </c>
      <c r="M75" s="0" t="n">
        <v>2.407</v>
      </c>
      <c r="N75" s="0" t="n">
        <v>7.221</v>
      </c>
      <c r="O75" s="0" t="n">
        <v>4.011</v>
      </c>
      <c r="P75" s="0" t="n">
        <v>4.814</v>
      </c>
      <c r="Q75" s="0" t="n">
        <v>6.017</v>
      </c>
      <c r="R75" s="0" t="n">
        <v>-0.203</v>
      </c>
      <c r="S75" s="0" t="n">
        <v>-0.42</v>
      </c>
      <c r="T75" s="0" t="s">
        <v>531</v>
      </c>
      <c r="U75" s="0" t="s">
        <v>515</v>
      </c>
    </row>
    <row r="76" customFormat="false" ht="15" hidden="false" customHeight="false" outlineLevel="0" collapsed="false">
      <c r="A76" s="0" t="s">
        <v>324</v>
      </c>
      <c r="B76" s="0" t="s">
        <v>529</v>
      </c>
      <c r="C76" s="0" t="s">
        <v>530</v>
      </c>
      <c r="D76" s="0" t="n">
        <v>2026</v>
      </c>
      <c r="E76" s="0" t="n">
        <v>5</v>
      </c>
      <c r="F76" s="0" t="n">
        <v>0</v>
      </c>
      <c r="G76" s="0" t="n">
        <v>2.019</v>
      </c>
      <c r="H76" s="0" t="n">
        <v>0</v>
      </c>
      <c r="I76" s="0" t="n">
        <v>2.019</v>
      </c>
      <c r="J76" s="0" t="n">
        <v>10.095</v>
      </c>
      <c r="K76" s="0" t="n">
        <v>0.451</v>
      </c>
      <c r="L76" s="0" t="n">
        <v>0.03</v>
      </c>
      <c r="M76" s="0" t="n">
        <v>2.5</v>
      </c>
      <c r="N76" s="0" t="n">
        <v>12.502</v>
      </c>
      <c r="O76" s="0" t="n">
        <v>4.167</v>
      </c>
      <c r="P76" s="0" t="n">
        <v>5.001</v>
      </c>
      <c r="Q76" s="0" t="n">
        <v>6.251</v>
      </c>
      <c r="R76" s="0" t="n">
        <v>-0.25</v>
      </c>
      <c r="S76" s="0" t="n">
        <v>-0.475</v>
      </c>
      <c r="T76" s="0" t="s">
        <v>531</v>
      </c>
      <c r="U76" s="0" t="s">
        <v>515</v>
      </c>
    </row>
    <row r="77" customFormat="false" ht="15" hidden="false" customHeight="false" outlineLevel="0" collapsed="false">
      <c r="A77" s="0" t="s">
        <v>324</v>
      </c>
      <c r="B77" s="0" t="s">
        <v>529</v>
      </c>
      <c r="C77" s="0" t="s">
        <v>530</v>
      </c>
      <c r="D77" s="0" t="n">
        <v>2026</v>
      </c>
      <c r="E77" s="0" t="n">
        <v>10</v>
      </c>
      <c r="F77" s="0" t="n">
        <v>0</v>
      </c>
      <c r="G77" s="0" t="n">
        <v>2.291</v>
      </c>
      <c r="H77" s="0" t="n">
        <v>0</v>
      </c>
      <c r="I77" s="0" t="n">
        <v>2.291</v>
      </c>
      <c r="J77" s="0" t="n">
        <v>22.91</v>
      </c>
      <c r="K77" s="0" t="n">
        <v>0.441</v>
      </c>
      <c r="L77" s="0" t="n">
        <v>0.03</v>
      </c>
      <c r="M77" s="0" t="n">
        <v>2.762</v>
      </c>
      <c r="N77" s="0" t="n">
        <v>27.617</v>
      </c>
      <c r="O77" s="0" t="n">
        <v>4.603</v>
      </c>
      <c r="P77" s="0" t="n">
        <v>5.523</v>
      </c>
      <c r="Q77" s="0" t="n">
        <v>6.904</v>
      </c>
      <c r="R77" s="0" t="n">
        <v>-0.381</v>
      </c>
      <c r="S77" s="0" t="n">
        <v>-0.629</v>
      </c>
      <c r="T77" s="0" t="s">
        <v>531</v>
      </c>
      <c r="U77" s="0" t="s">
        <v>515</v>
      </c>
    </row>
    <row r="78" customFormat="false" ht="15" hidden="false" customHeight="false" outlineLevel="0" collapsed="false">
      <c r="A78" s="0" t="s">
        <v>532</v>
      </c>
      <c r="B78" s="0" t="s">
        <v>533</v>
      </c>
      <c r="C78" s="0" t="s">
        <v>534</v>
      </c>
      <c r="D78" s="0" t="s">
        <v>535</v>
      </c>
      <c r="E78" s="0" t="n">
        <v>1</v>
      </c>
      <c r="F78" s="0" t="n">
        <v>0</v>
      </c>
      <c r="G78" s="0" t="n">
        <v>2.47</v>
      </c>
      <c r="H78" s="0" t="n">
        <v>0</v>
      </c>
      <c r="I78" s="0" t="n">
        <v>2.47</v>
      </c>
      <c r="J78" s="0" t="n">
        <v>2.47</v>
      </c>
      <c r="K78" s="0" t="n">
        <v>0.537</v>
      </c>
      <c r="L78" s="0" t="n">
        <v>0.03</v>
      </c>
      <c r="M78" s="0" t="n">
        <v>3.038</v>
      </c>
      <c r="N78" s="0" t="n">
        <v>3.038</v>
      </c>
      <c r="O78" s="0" t="n">
        <v>5.062</v>
      </c>
      <c r="P78" s="0" t="n">
        <v>6.075</v>
      </c>
      <c r="Q78" s="0" t="n">
        <v>7.594</v>
      </c>
      <c r="R78" s="0" t="n">
        <v>-0.519</v>
      </c>
      <c r="S78" s="0" t="n">
        <v>-0.792</v>
      </c>
      <c r="T78" s="0" t="s">
        <v>522</v>
      </c>
      <c r="U78" s="0" t="s">
        <v>523</v>
      </c>
    </row>
    <row r="79" customFormat="false" ht="15" hidden="false" customHeight="false" outlineLevel="0" collapsed="false">
      <c r="A79" s="0" t="s">
        <v>532</v>
      </c>
      <c r="B79" s="0" t="s">
        <v>533</v>
      </c>
      <c r="C79" s="0" t="s">
        <v>534</v>
      </c>
      <c r="D79" s="0" t="s">
        <v>535</v>
      </c>
      <c r="E79" s="0" t="n">
        <v>3</v>
      </c>
      <c r="F79" s="0" t="n">
        <v>0</v>
      </c>
      <c r="G79" s="0" t="n">
        <v>4.71</v>
      </c>
      <c r="H79" s="0" t="n">
        <v>0</v>
      </c>
      <c r="I79" s="0" t="n">
        <v>4.71</v>
      </c>
      <c r="J79" s="0" t="n">
        <v>14.13</v>
      </c>
      <c r="K79" s="0" t="n">
        <v>0.466</v>
      </c>
      <c r="L79" s="0" t="n">
        <v>0.03</v>
      </c>
      <c r="M79" s="0" t="n">
        <v>5.206</v>
      </c>
      <c r="N79" s="0" t="n">
        <v>15.617</v>
      </c>
      <c r="O79" s="0" t="n">
        <v>8.676</v>
      </c>
      <c r="P79" s="0" t="n">
        <v>10.412</v>
      </c>
      <c r="Q79" s="0" t="n">
        <v>13.015</v>
      </c>
      <c r="R79" s="0" t="n">
        <v>-1.603</v>
      </c>
      <c r="S79" s="0" t="n">
        <v>-2.071</v>
      </c>
      <c r="T79" s="0" t="s">
        <v>522</v>
      </c>
      <c r="U79" s="0" t="s">
        <v>523</v>
      </c>
    </row>
    <row r="80" customFormat="false" ht="15" hidden="false" customHeight="false" outlineLevel="0" collapsed="false">
      <c r="A80" s="0" t="s">
        <v>532</v>
      </c>
      <c r="B80" s="0" t="s">
        <v>533</v>
      </c>
      <c r="C80" s="0" t="s">
        <v>534</v>
      </c>
      <c r="D80" s="0" t="s">
        <v>535</v>
      </c>
      <c r="E80" s="0" t="n">
        <v>5</v>
      </c>
      <c r="F80" s="0" t="n">
        <v>0</v>
      </c>
      <c r="G80" s="0" t="n">
        <v>6.85</v>
      </c>
      <c r="H80" s="0" t="n">
        <v>0</v>
      </c>
      <c r="I80" s="0" t="n">
        <v>6.85</v>
      </c>
      <c r="J80" s="0" t="n">
        <v>34.25</v>
      </c>
      <c r="K80" s="0" t="n">
        <v>0.451</v>
      </c>
      <c r="L80" s="0" t="n">
        <v>0.03</v>
      </c>
      <c r="M80" s="0" t="n">
        <v>7.332</v>
      </c>
      <c r="N80" s="0" t="n">
        <v>36.657</v>
      </c>
      <c r="O80" s="0" t="n">
        <v>12.219</v>
      </c>
      <c r="P80" s="0" t="n">
        <v>14.663</v>
      </c>
      <c r="Q80" s="0" t="n">
        <v>18.329</v>
      </c>
      <c r="R80" s="0" t="n">
        <v>-2.666</v>
      </c>
      <c r="S80" s="0" t="n">
        <v>-3.326</v>
      </c>
      <c r="T80" s="0" t="s">
        <v>522</v>
      </c>
      <c r="U80" s="0" t="s">
        <v>523</v>
      </c>
    </row>
    <row r="81" customFormat="false" ht="15" hidden="false" customHeight="false" outlineLevel="0" collapsed="false">
      <c r="A81" s="0" t="s">
        <v>532</v>
      </c>
      <c r="B81" s="0" t="s">
        <v>533</v>
      </c>
      <c r="C81" s="0" t="s">
        <v>534</v>
      </c>
      <c r="D81" s="0" t="s">
        <v>535</v>
      </c>
      <c r="E81" s="0" t="n">
        <v>10</v>
      </c>
      <c r="F81" s="0" t="n">
        <v>0</v>
      </c>
      <c r="G81" s="0" t="n">
        <v>10.74</v>
      </c>
      <c r="H81" s="0" t="n">
        <v>0</v>
      </c>
      <c r="I81" s="0" t="n">
        <v>10.74</v>
      </c>
      <c r="J81" s="0" t="n">
        <v>107.4</v>
      </c>
      <c r="K81" s="0" t="n">
        <v>0.441</v>
      </c>
      <c r="L81" s="0" t="n">
        <v>0.03</v>
      </c>
      <c r="M81" s="0" t="n">
        <v>11.211</v>
      </c>
      <c r="N81" s="0" t="n">
        <v>112.107</v>
      </c>
      <c r="O81" s="0" t="n">
        <v>18.685</v>
      </c>
      <c r="P81" s="0" t="n">
        <v>22.421</v>
      </c>
      <c r="Q81" s="0" t="n">
        <v>28.027</v>
      </c>
      <c r="R81" s="0" t="n">
        <v>-4.605</v>
      </c>
      <c r="S81" s="0" t="n">
        <v>-5.614</v>
      </c>
      <c r="T81" s="0" t="s">
        <v>522</v>
      </c>
      <c r="U81" s="0" t="s">
        <v>523</v>
      </c>
    </row>
    <row r="82" customFormat="false" ht="15" hidden="false" customHeight="false" outlineLevel="0" collapsed="false">
      <c r="A82" s="0" t="s">
        <v>536</v>
      </c>
      <c r="B82" s="0" t="s">
        <v>537</v>
      </c>
      <c r="C82" s="0" t="s">
        <v>534</v>
      </c>
      <c r="D82" s="0" t="s">
        <v>535</v>
      </c>
      <c r="E82" s="0" t="n">
        <v>1</v>
      </c>
      <c r="F82" s="0" t="n">
        <v>0</v>
      </c>
      <c r="G82" s="0" t="n">
        <v>2.55</v>
      </c>
      <c r="H82" s="0" t="n">
        <v>0</v>
      </c>
      <c r="I82" s="0" t="n">
        <v>2.55</v>
      </c>
      <c r="J82" s="0" t="n">
        <v>2.55</v>
      </c>
      <c r="K82" s="0" t="n">
        <v>0.537</v>
      </c>
      <c r="L82" s="0" t="n">
        <v>0.03</v>
      </c>
      <c r="M82" s="0" t="n">
        <v>3.117</v>
      </c>
      <c r="N82" s="0" t="n">
        <v>3.117</v>
      </c>
      <c r="O82" s="0" t="n">
        <v>5.196</v>
      </c>
      <c r="P82" s="0" t="n">
        <v>6.235</v>
      </c>
      <c r="Q82" s="0" t="n">
        <v>7.794</v>
      </c>
      <c r="R82" s="0" t="n">
        <v>-0.559</v>
      </c>
      <c r="S82" s="0" t="n">
        <v>-0.839</v>
      </c>
      <c r="T82" s="0" t="s">
        <v>522</v>
      </c>
      <c r="U82" s="0" t="s">
        <v>523</v>
      </c>
    </row>
    <row r="83" customFormat="false" ht="15" hidden="false" customHeight="false" outlineLevel="0" collapsed="false">
      <c r="A83" s="0" t="s">
        <v>536</v>
      </c>
      <c r="B83" s="0" t="s">
        <v>537</v>
      </c>
      <c r="C83" s="0" t="s">
        <v>534</v>
      </c>
      <c r="D83" s="0" t="s">
        <v>535</v>
      </c>
      <c r="E83" s="0" t="n">
        <v>3</v>
      </c>
      <c r="F83" s="0" t="n">
        <v>0</v>
      </c>
      <c r="G83" s="0" t="n">
        <v>4.19</v>
      </c>
      <c r="H83" s="0" t="n">
        <v>0</v>
      </c>
      <c r="I83" s="0" t="n">
        <v>4.19</v>
      </c>
      <c r="J83" s="0" t="n">
        <v>12.57</v>
      </c>
      <c r="K83" s="0" t="n">
        <v>0.466</v>
      </c>
      <c r="L83" s="0" t="n">
        <v>0.03</v>
      </c>
      <c r="M83" s="0" t="n">
        <v>4.686</v>
      </c>
      <c r="N83" s="0" t="n">
        <v>14.058</v>
      </c>
      <c r="O83" s="0" t="n">
        <v>7.81</v>
      </c>
      <c r="P83" s="0" t="n">
        <v>9.372</v>
      </c>
      <c r="Q83" s="0" t="n">
        <v>11.715</v>
      </c>
      <c r="R83" s="0" t="n">
        <v>-1.343</v>
      </c>
      <c r="S83" s="0" t="n">
        <v>-1.765</v>
      </c>
      <c r="T83" s="0" t="s">
        <v>522</v>
      </c>
      <c r="U83" s="0" t="s">
        <v>523</v>
      </c>
    </row>
    <row r="84" customFormat="false" ht="15" hidden="false" customHeight="false" outlineLevel="0" collapsed="false">
      <c r="A84" s="0" t="s">
        <v>536</v>
      </c>
      <c r="B84" s="0" t="s">
        <v>537</v>
      </c>
      <c r="C84" s="0" t="s">
        <v>534</v>
      </c>
      <c r="D84" s="0" t="s">
        <v>535</v>
      </c>
      <c r="E84" s="0" t="n">
        <v>5</v>
      </c>
      <c r="F84" s="0" t="n">
        <v>0</v>
      </c>
      <c r="G84" s="0" t="n">
        <v>5.34</v>
      </c>
      <c r="H84" s="0" t="n">
        <v>0</v>
      </c>
      <c r="I84" s="0" t="n">
        <v>5.34</v>
      </c>
      <c r="J84" s="0" t="n">
        <v>26.7</v>
      </c>
      <c r="K84" s="0" t="n">
        <v>0.451</v>
      </c>
      <c r="L84" s="0" t="n">
        <v>0.03</v>
      </c>
      <c r="M84" s="0" t="n">
        <v>5.822</v>
      </c>
      <c r="N84" s="0" t="n">
        <v>29.108</v>
      </c>
      <c r="O84" s="0" t="n">
        <v>9.703</v>
      </c>
      <c r="P84" s="0" t="n">
        <v>11.643</v>
      </c>
      <c r="Q84" s="0" t="n">
        <v>14.554</v>
      </c>
      <c r="R84" s="0" t="n">
        <v>-1.911</v>
      </c>
      <c r="S84" s="0" t="n">
        <v>-2.435</v>
      </c>
      <c r="T84" s="0" t="s">
        <v>522</v>
      </c>
      <c r="U84" s="0" t="s">
        <v>523</v>
      </c>
    </row>
    <row r="85" customFormat="false" ht="15" hidden="false" customHeight="false" outlineLevel="0" collapsed="false">
      <c r="A85" s="0" t="s">
        <v>536</v>
      </c>
      <c r="B85" s="0" t="s">
        <v>537</v>
      </c>
      <c r="C85" s="0" t="s">
        <v>534</v>
      </c>
      <c r="D85" s="0" t="s">
        <v>535</v>
      </c>
      <c r="E85" s="0" t="n">
        <v>10</v>
      </c>
      <c r="F85" s="0" t="n">
        <v>0</v>
      </c>
      <c r="G85" s="0" t="n">
        <v>6.38</v>
      </c>
      <c r="H85" s="0" t="n">
        <v>0</v>
      </c>
      <c r="I85" s="0" t="n">
        <v>6.38</v>
      </c>
      <c r="J85" s="0" t="n">
        <v>63.8</v>
      </c>
      <c r="K85" s="0" t="n">
        <v>0.441</v>
      </c>
      <c r="L85" s="0" t="n">
        <v>0.03</v>
      </c>
      <c r="M85" s="0" t="n">
        <v>6.851</v>
      </c>
      <c r="N85" s="0" t="n">
        <v>68.508</v>
      </c>
      <c r="O85" s="0" t="n">
        <v>11.418</v>
      </c>
      <c r="P85" s="0" t="n">
        <v>13.702</v>
      </c>
      <c r="Q85" s="0" t="n">
        <v>17.127</v>
      </c>
      <c r="R85" s="0" t="n">
        <v>-2.425</v>
      </c>
      <c r="S85" s="0" t="n">
        <v>-3.042</v>
      </c>
      <c r="T85" s="0" t="s">
        <v>522</v>
      </c>
      <c r="U85" s="0" t="s">
        <v>523</v>
      </c>
    </row>
    <row r="86" customFormat="false" ht="15" hidden="false" customHeight="false" outlineLevel="0" collapsed="false">
      <c r="A86" s="0" t="s">
        <v>538</v>
      </c>
      <c r="B86" s="0" t="s">
        <v>539</v>
      </c>
      <c r="C86" s="0" t="s">
        <v>534</v>
      </c>
      <c r="D86" s="0" t="s">
        <v>535</v>
      </c>
      <c r="E86" s="0" t="n">
        <v>1</v>
      </c>
      <c r="F86" s="0" t="n">
        <v>0</v>
      </c>
      <c r="G86" s="0" t="n">
        <v>3.31</v>
      </c>
      <c r="H86" s="0" t="n">
        <v>0</v>
      </c>
      <c r="I86" s="0" t="n">
        <v>3.31</v>
      </c>
      <c r="J86" s="0" t="n">
        <v>3.31</v>
      </c>
      <c r="K86" s="0" t="n">
        <v>0.537</v>
      </c>
      <c r="L86" s="0" t="n">
        <v>0.03</v>
      </c>
      <c r="M86" s="0" t="n">
        <v>3.877</v>
      </c>
      <c r="N86" s="0" t="n">
        <v>3.877</v>
      </c>
      <c r="O86" s="0" t="n">
        <v>6.463</v>
      </c>
      <c r="P86" s="0" t="n">
        <v>7.755</v>
      </c>
      <c r="Q86" s="0" t="n">
        <v>9.694</v>
      </c>
      <c r="R86" s="0" t="n">
        <v>-0.939</v>
      </c>
      <c r="S86" s="0" t="n">
        <v>-1.288</v>
      </c>
      <c r="T86" s="0" t="s">
        <v>525</v>
      </c>
      <c r="U86" s="0" t="s">
        <v>526</v>
      </c>
    </row>
    <row r="87" customFormat="false" ht="15" hidden="false" customHeight="false" outlineLevel="0" collapsed="false">
      <c r="A87" s="0" t="s">
        <v>538</v>
      </c>
      <c r="B87" s="0" t="s">
        <v>539</v>
      </c>
      <c r="C87" s="0" t="s">
        <v>534</v>
      </c>
      <c r="D87" s="0" t="s">
        <v>535</v>
      </c>
      <c r="E87" s="0" t="n">
        <v>3</v>
      </c>
      <c r="F87" s="0" t="n">
        <v>0</v>
      </c>
      <c r="G87" s="0" t="n">
        <v>5.72</v>
      </c>
      <c r="H87" s="0" t="n">
        <v>0</v>
      </c>
      <c r="I87" s="0" t="n">
        <v>5.72</v>
      </c>
      <c r="J87" s="0" t="n">
        <v>17.16</v>
      </c>
      <c r="K87" s="0" t="n">
        <v>0.466</v>
      </c>
      <c r="L87" s="0" t="n">
        <v>0.03</v>
      </c>
      <c r="M87" s="0" t="n">
        <v>6.216</v>
      </c>
      <c r="N87" s="0" t="n">
        <v>18.648</v>
      </c>
      <c r="O87" s="0" t="n">
        <v>10.36</v>
      </c>
      <c r="P87" s="0" t="n">
        <v>12.432</v>
      </c>
      <c r="Q87" s="0" t="n">
        <v>15.54</v>
      </c>
      <c r="R87" s="0" t="n">
        <v>-2.108</v>
      </c>
      <c r="S87" s="0" t="n">
        <v>-2.667</v>
      </c>
      <c r="T87" s="0" t="s">
        <v>525</v>
      </c>
      <c r="U87" s="0" t="s">
        <v>526</v>
      </c>
    </row>
    <row r="88" customFormat="false" ht="15" hidden="false" customHeight="false" outlineLevel="0" collapsed="false">
      <c r="A88" s="0" t="s">
        <v>538</v>
      </c>
      <c r="B88" s="0" t="s">
        <v>539</v>
      </c>
      <c r="C88" s="0" t="s">
        <v>534</v>
      </c>
      <c r="D88" s="0" t="s">
        <v>535</v>
      </c>
      <c r="E88" s="0" t="n">
        <v>5</v>
      </c>
      <c r="F88" s="0" t="n">
        <v>0</v>
      </c>
      <c r="G88" s="0" t="n">
        <v>8.05</v>
      </c>
      <c r="H88" s="0" t="n">
        <v>0</v>
      </c>
      <c r="I88" s="0" t="n">
        <v>8.05</v>
      </c>
      <c r="J88" s="0" t="n">
        <v>40.25</v>
      </c>
      <c r="K88" s="0" t="n">
        <v>0.451</v>
      </c>
      <c r="L88" s="0" t="n">
        <v>0.03</v>
      </c>
      <c r="M88" s="0" t="n">
        <v>8.531</v>
      </c>
      <c r="N88" s="0" t="n">
        <v>42.657</v>
      </c>
      <c r="O88" s="0" t="n">
        <v>14.219</v>
      </c>
      <c r="P88" s="0" t="n">
        <v>17.063</v>
      </c>
      <c r="Q88" s="0" t="n">
        <v>21.329</v>
      </c>
      <c r="R88" s="0" t="n">
        <v>-3.266</v>
      </c>
      <c r="S88" s="0" t="n">
        <v>-4.034</v>
      </c>
      <c r="T88" s="0" t="s">
        <v>525</v>
      </c>
      <c r="U88" s="0" t="s">
        <v>526</v>
      </c>
    </row>
    <row r="89" customFormat="false" ht="15" hidden="false" customHeight="false" outlineLevel="0" collapsed="false">
      <c r="A89" s="0" t="s">
        <v>538</v>
      </c>
      <c r="B89" s="0" t="s">
        <v>539</v>
      </c>
      <c r="C89" s="0" t="s">
        <v>534</v>
      </c>
      <c r="D89" s="0" t="s">
        <v>535</v>
      </c>
      <c r="E89" s="0" t="n">
        <v>10</v>
      </c>
      <c r="F89" s="0" t="n">
        <v>0</v>
      </c>
      <c r="G89" s="0" t="n">
        <v>12.7</v>
      </c>
      <c r="H89" s="0" t="n">
        <v>0</v>
      </c>
      <c r="I89" s="0" t="n">
        <v>12.7</v>
      </c>
      <c r="J89" s="0" t="n">
        <v>127</v>
      </c>
      <c r="K89" s="0" t="n">
        <v>0.441</v>
      </c>
      <c r="L89" s="0" t="n">
        <v>0.03</v>
      </c>
      <c r="M89" s="0" t="n">
        <v>13.171</v>
      </c>
      <c r="N89" s="0" t="n">
        <v>131.707</v>
      </c>
      <c r="O89" s="0" t="n">
        <v>21.951</v>
      </c>
      <c r="P89" s="0" t="n">
        <v>26.341</v>
      </c>
      <c r="Q89" s="0" t="n">
        <v>32.927</v>
      </c>
      <c r="R89" s="0" t="n">
        <v>-5.585</v>
      </c>
      <c r="S89" s="0" t="n">
        <v>-6.771</v>
      </c>
      <c r="T89" s="0" t="s">
        <v>525</v>
      </c>
      <c r="U89" s="0" t="s">
        <v>526</v>
      </c>
    </row>
    <row r="90" customFormat="false" ht="15" hidden="false" customHeight="false" outlineLevel="0" collapsed="false">
      <c r="A90" s="0" t="s">
        <v>540</v>
      </c>
      <c r="B90" s="0" t="s">
        <v>541</v>
      </c>
      <c r="C90" s="0" t="s">
        <v>534</v>
      </c>
      <c r="D90" s="0" t="s">
        <v>535</v>
      </c>
      <c r="E90" s="0" t="n">
        <v>1</v>
      </c>
      <c r="F90" s="0" t="n">
        <v>0</v>
      </c>
      <c r="G90" s="0" t="n">
        <v>3.34</v>
      </c>
      <c r="H90" s="0" t="n">
        <v>0</v>
      </c>
      <c r="I90" s="0" t="n">
        <v>3.34</v>
      </c>
      <c r="J90" s="0" t="n">
        <v>3.34</v>
      </c>
      <c r="K90" s="0" t="n">
        <v>0.537</v>
      </c>
      <c r="L90" s="0" t="n">
        <v>0.03</v>
      </c>
      <c r="M90" s="0" t="n">
        <v>3.907</v>
      </c>
      <c r="N90" s="0" t="n">
        <v>3.907</v>
      </c>
      <c r="O90" s="0" t="n">
        <v>6.513</v>
      </c>
      <c r="P90" s="0" t="n">
        <v>7.815</v>
      </c>
      <c r="Q90" s="0" t="n">
        <v>9.769</v>
      </c>
      <c r="R90" s="0" t="n">
        <v>-0.954</v>
      </c>
      <c r="S90" s="0" t="n">
        <v>-1.305</v>
      </c>
      <c r="T90" s="0" t="s">
        <v>525</v>
      </c>
      <c r="U90" s="0" t="s">
        <v>526</v>
      </c>
    </row>
    <row r="91" customFormat="false" ht="15" hidden="false" customHeight="false" outlineLevel="0" collapsed="false">
      <c r="A91" s="0" t="s">
        <v>540</v>
      </c>
      <c r="B91" s="0" t="s">
        <v>541</v>
      </c>
      <c r="C91" s="0" t="s">
        <v>534</v>
      </c>
      <c r="D91" s="0" t="s">
        <v>535</v>
      </c>
      <c r="E91" s="0" t="n">
        <v>3</v>
      </c>
      <c r="F91" s="0" t="n">
        <v>0</v>
      </c>
      <c r="G91" s="0" t="n">
        <v>5.72</v>
      </c>
      <c r="H91" s="0" t="n">
        <v>0</v>
      </c>
      <c r="I91" s="0" t="n">
        <v>5.72</v>
      </c>
      <c r="J91" s="0" t="n">
        <v>17.16</v>
      </c>
      <c r="K91" s="0" t="n">
        <v>0.466</v>
      </c>
      <c r="L91" s="0" t="n">
        <v>0.03</v>
      </c>
      <c r="M91" s="0" t="n">
        <v>6.216</v>
      </c>
      <c r="N91" s="0" t="n">
        <v>18.648</v>
      </c>
      <c r="O91" s="0" t="n">
        <v>10.36</v>
      </c>
      <c r="P91" s="0" t="n">
        <v>12.432</v>
      </c>
      <c r="Q91" s="0" t="n">
        <v>15.54</v>
      </c>
      <c r="R91" s="0" t="n">
        <v>-2.108</v>
      </c>
      <c r="S91" s="0" t="n">
        <v>-2.667</v>
      </c>
      <c r="T91" s="0" t="s">
        <v>525</v>
      </c>
      <c r="U91" s="0" t="s">
        <v>526</v>
      </c>
    </row>
    <row r="92" customFormat="false" ht="15" hidden="false" customHeight="false" outlineLevel="0" collapsed="false">
      <c r="A92" s="0" t="s">
        <v>540</v>
      </c>
      <c r="B92" s="0" t="s">
        <v>541</v>
      </c>
      <c r="C92" s="0" t="s">
        <v>534</v>
      </c>
      <c r="D92" s="0" t="s">
        <v>535</v>
      </c>
      <c r="E92" s="0" t="n">
        <v>5</v>
      </c>
      <c r="F92" s="0" t="n">
        <v>0</v>
      </c>
      <c r="G92" s="0" t="n">
        <v>7.94</v>
      </c>
      <c r="H92" s="0" t="n">
        <v>0</v>
      </c>
      <c r="I92" s="0" t="n">
        <v>7.94</v>
      </c>
      <c r="J92" s="0" t="n">
        <v>39.7</v>
      </c>
      <c r="K92" s="0" t="n">
        <v>0.451</v>
      </c>
      <c r="L92" s="0" t="n">
        <v>0.03</v>
      </c>
      <c r="M92" s="0" t="n">
        <v>8.421</v>
      </c>
      <c r="N92" s="0" t="n">
        <v>42.108</v>
      </c>
      <c r="O92" s="0" t="n">
        <v>14.036</v>
      </c>
      <c r="P92" s="0" t="n">
        <v>16.843</v>
      </c>
      <c r="Q92" s="0" t="n">
        <v>21.054</v>
      </c>
      <c r="R92" s="0" t="n">
        <v>-3.211</v>
      </c>
      <c r="S92" s="0" t="n">
        <v>-3.969</v>
      </c>
      <c r="T92" s="0" t="s">
        <v>525</v>
      </c>
      <c r="U92" s="0" t="s">
        <v>526</v>
      </c>
    </row>
    <row r="93" customFormat="false" ht="15" hidden="false" customHeight="false" outlineLevel="0" collapsed="false">
      <c r="A93" s="0" t="s">
        <v>540</v>
      </c>
      <c r="B93" s="0" t="s">
        <v>541</v>
      </c>
      <c r="C93" s="0" t="s">
        <v>534</v>
      </c>
      <c r="D93" s="0" t="s">
        <v>535</v>
      </c>
      <c r="E93" s="0" t="n">
        <v>10</v>
      </c>
      <c r="F93" s="0" t="n">
        <v>0</v>
      </c>
      <c r="G93" s="0" t="n">
        <v>9.05</v>
      </c>
      <c r="H93" s="0" t="n">
        <v>0</v>
      </c>
      <c r="I93" s="0" t="n">
        <v>9.05</v>
      </c>
      <c r="J93" s="0" t="n">
        <v>90.5</v>
      </c>
      <c r="K93" s="0" t="n">
        <v>0.441</v>
      </c>
      <c r="L93" s="0" t="n">
        <v>0.03</v>
      </c>
      <c r="M93" s="0" t="n">
        <v>9.521</v>
      </c>
      <c r="N93" s="0" t="n">
        <v>95.207</v>
      </c>
      <c r="O93" s="0" t="n">
        <v>15.868</v>
      </c>
      <c r="P93" s="0" t="n">
        <v>19.041</v>
      </c>
      <c r="Q93" s="0" t="n">
        <v>23.802</v>
      </c>
      <c r="R93" s="0" t="n">
        <v>-3.76</v>
      </c>
      <c r="S93" s="0" t="n">
        <v>-4.617</v>
      </c>
      <c r="T93" s="0" t="s">
        <v>525</v>
      </c>
      <c r="U93" s="0" t="s">
        <v>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159</v>
      </c>
      <c r="B1" s="1" t="s">
        <v>542</v>
      </c>
      <c r="C1" s="1" t="s">
        <v>543</v>
      </c>
      <c r="D1" s="1" t="s">
        <v>544</v>
      </c>
      <c r="E1" s="1" t="s">
        <v>483</v>
      </c>
      <c r="F1" s="1" t="s">
        <v>545</v>
      </c>
      <c r="G1" s="1" t="s">
        <v>151</v>
      </c>
      <c r="H1" s="1" t="s">
        <v>546</v>
      </c>
    </row>
    <row r="2" customFormat="false" ht="15" hidden="false" customHeight="false" outlineLevel="0" collapsed="false">
      <c r="A2" s="0" t="n">
        <v>2</v>
      </c>
      <c r="B2" s="0" t="s">
        <v>547</v>
      </c>
      <c r="C2" s="0" t="n">
        <v>2</v>
      </c>
      <c r="D2" s="0" t="n">
        <v>0.4</v>
      </c>
      <c r="E2" s="0" t="n">
        <v>0.38</v>
      </c>
      <c r="F2" s="0" t="s">
        <v>548</v>
      </c>
      <c r="G2" s="0" t="n">
        <v>0</v>
      </c>
      <c r="H2" s="0" t="n">
        <v>0.82</v>
      </c>
    </row>
    <row r="3" customFormat="false" ht="15" hidden="false" customHeight="false" outlineLevel="0" collapsed="false">
      <c r="A3" s="0" t="n">
        <v>2</v>
      </c>
      <c r="B3" s="0" t="s">
        <v>547</v>
      </c>
      <c r="C3" s="0" t="n">
        <v>2</v>
      </c>
      <c r="D3" s="0" t="n">
        <v>0.4</v>
      </c>
      <c r="E3" s="0" t="n">
        <v>0.38</v>
      </c>
      <c r="F3" s="0" t="s">
        <v>548</v>
      </c>
      <c r="G3" s="0" t="n">
        <v>0.03</v>
      </c>
      <c r="H3" s="0" t="n">
        <v>0.79</v>
      </c>
    </row>
    <row r="4" customFormat="false" ht="15" hidden="false" customHeight="false" outlineLevel="0" collapsed="false">
      <c r="A4" s="0" t="n">
        <v>2</v>
      </c>
      <c r="B4" s="0" t="s">
        <v>547</v>
      </c>
      <c r="C4" s="0" t="n">
        <v>2</v>
      </c>
      <c r="D4" s="0" t="n">
        <v>0.4</v>
      </c>
      <c r="E4" s="0" t="n">
        <v>0.43</v>
      </c>
      <c r="F4" s="0" t="s">
        <v>548</v>
      </c>
      <c r="G4" s="0" t="n">
        <v>0</v>
      </c>
      <c r="H4" s="0" t="n">
        <v>0.77</v>
      </c>
    </row>
    <row r="5" customFormat="false" ht="15" hidden="false" customHeight="false" outlineLevel="0" collapsed="false">
      <c r="A5" s="0" t="n">
        <v>2</v>
      </c>
      <c r="B5" s="0" t="s">
        <v>547</v>
      </c>
      <c r="C5" s="0" t="n">
        <v>2</v>
      </c>
      <c r="D5" s="0" t="n">
        <v>0.4</v>
      </c>
      <c r="E5" s="0" t="n">
        <v>0.43</v>
      </c>
      <c r="F5" s="0" t="s">
        <v>548</v>
      </c>
      <c r="G5" s="0" t="n">
        <v>0.03</v>
      </c>
      <c r="H5" s="0" t="n">
        <v>0.74</v>
      </c>
    </row>
    <row r="6" customFormat="false" ht="15" hidden="false" customHeight="false" outlineLevel="0" collapsed="false">
      <c r="A6" s="0" t="n">
        <v>2</v>
      </c>
      <c r="B6" s="0" t="s">
        <v>547</v>
      </c>
      <c r="C6" s="0" t="n">
        <v>2</v>
      </c>
      <c r="D6" s="0" t="n">
        <v>0.4</v>
      </c>
      <c r="E6" s="0" t="n">
        <v>0.48</v>
      </c>
      <c r="F6" s="0" t="s">
        <v>548</v>
      </c>
      <c r="G6" s="0" t="n">
        <v>0</v>
      </c>
      <c r="H6" s="0" t="n">
        <v>0.72</v>
      </c>
    </row>
    <row r="7" customFormat="false" ht="15" hidden="false" customHeight="false" outlineLevel="0" collapsed="false">
      <c r="A7" s="0" t="n">
        <v>2</v>
      </c>
      <c r="B7" s="0" t="s">
        <v>547</v>
      </c>
      <c r="C7" s="0" t="n">
        <v>2</v>
      </c>
      <c r="D7" s="0" t="n">
        <v>0.4</v>
      </c>
      <c r="E7" s="0" t="n">
        <v>0.48</v>
      </c>
      <c r="F7" s="0" t="s">
        <v>548</v>
      </c>
      <c r="G7" s="0" t="n">
        <v>0.03</v>
      </c>
      <c r="H7" s="0" t="n">
        <v>0.69</v>
      </c>
    </row>
    <row r="8" customFormat="false" ht="15" hidden="false" customHeight="false" outlineLevel="0" collapsed="false">
      <c r="A8" s="0" t="n">
        <v>2</v>
      </c>
      <c r="B8" s="0" t="s">
        <v>547</v>
      </c>
      <c r="C8" s="0" t="n">
        <v>2</v>
      </c>
      <c r="D8" s="0" t="n">
        <v>0.4</v>
      </c>
      <c r="E8" s="0" t="n">
        <v>0.6</v>
      </c>
      <c r="F8" s="0" t="s">
        <v>549</v>
      </c>
      <c r="G8" s="0" t="n">
        <v>0</v>
      </c>
      <c r="H8" s="0" t="n">
        <v>0.6</v>
      </c>
    </row>
    <row r="9" customFormat="false" ht="15" hidden="false" customHeight="false" outlineLevel="0" collapsed="false">
      <c r="A9" s="0" t="n">
        <v>2</v>
      </c>
      <c r="B9" s="0" t="s">
        <v>547</v>
      </c>
      <c r="C9" s="0" t="n">
        <v>2</v>
      </c>
      <c r="D9" s="0" t="n">
        <v>0.4</v>
      </c>
      <c r="E9" s="0" t="n">
        <v>0.6</v>
      </c>
      <c r="F9" s="0" t="s">
        <v>549</v>
      </c>
      <c r="G9" s="0" t="n">
        <v>0.03</v>
      </c>
      <c r="H9" s="0" t="n">
        <v>0.57</v>
      </c>
    </row>
    <row r="10" customFormat="false" ht="15" hidden="false" customHeight="false" outlineLevel="0" collapsed="false">
      <c r="A10" s="0" t="n">
        <v>2</v>
      </c>
      <c r="B10" s="0" t="s">
        <v>547</v>
      </c>
      <c r="C10" s="0" t="n">
        <v>2</v>
      </c>
      <c r="D10" s="0" t="n">
        <v>0.4</v>
      </c>
      <c r="E10" s="0" t="n">
        <v>0.8</v>
      </c>
      <c r="F10" s="0" t="s">
        <v>549</v>
      </c>
      <c r="G10" s="0" t="n">
        <v>0</v>
      </c>
      <c r="H10" s="0" t="n">
        <v>0.4</v>
      </c>
    </row>
    <row r="11" customFormat="false" ht="15" hidden="false" customHeight="false" outlineLevel="0" collapsed="false">
      <c r="A11" s="0" t="n">
        <v>2</v>
      </c>
      <c r="B11" s="0" t="s">
        <v>547</v>
      </c>
      <c r="C11" s="0" t="n">
        <v>2</v>
      </c>
      <c r="D11" s="0" t="n">
        <v>0.4</v>
      </c>
      <c r="E11" s="0" t="n">
        <v>0.8</v>
      </c>
      <c r="F11" s="0" t="s">
        <v>549</v>
      </c>
      <c r="G11" s="0" t="n">
        <v>0.03</v>
      </c>
      <c r="H11" s="0" t="n">
        <v>0.37</v>
      </c>
    </row>
    <row r="12" customFormat="false" ht="15" hidden="false" customHeight="false" outlineLevel="0" collapsed="false">
      <c r="A12" s="0" t="n">
        <v>2</v>
      </c>
      <c r="B12" s="0" t="s">
        <v>547</v>
      </c>
      <c r="C12" s="0" t="n">
        <v>2</v>
      </c>
      <c r="D12" s="0" t="n">
        <v>0.5</v>
      </c>
      <c r="E12" s="0" t="n">
        <v>0.38</v>
      </c>
      <c r="F12" s="0" t="s">
        <v>548</v>
      </c>
      <c r="G12" s="0" t="n">
        <v>0</v>
      </c>
      <c r="H12" s="0" t="n">
        <v>0.62</v>
      </c>
    </row>
    <row r="13" customFormat="false" ht="15" hidden="false" customHeight="false" outlineLevel="0" collapsed="false">
      <c r="A13" s="0" t="n">
        <v>2</v>
      </c>
      <c r="B13" s="0" t="s">
        <v>547</v>
      </c>
      <c r="C13" s="0" t="n">
        <v>2</v>
      </c>
      <c r="D13" s="0" t="n">
        <v>0.5</v>
      </c>
      <c r="E13" s="0" t="n">
        <v>0.38</v>
      </c>
      <c r="F13" s="0" t="s">
        <v>548</v>
      </c>
      <c r="G13" s="0" t="n">
        <v>0.03</v>
      </c>
      <c r="H13" s="0" t="n">
        <v>0.59</v>
      </c>
    </row>
    <row r="14" customFormat="false" ht="15" hidden="false" customHeight="false" outlineLevel="0" collapsed="false">
      <c r="A14" s="0" t="n">
        <v>2</v>
      </c>
      <c r="B14" s="0" t="s">
        <v>547</v>
      </c>
      <c r="C14" s="0" t="n">
        <v>2</v>
      </c>
      <c r="D14" s="0" t="n">
        <v>0.5</v>
      </c>
      <c r="E14" s="0" t="n">
        <v>0.43</v>
      </c>
      <c r="F14" s="0" t="s">
        <v>548</v>
      </c>
      <c r="G14" s="0" t="n">
        <v>0</v>
      </c>
      <c r="H14" s="0" t="n">
        <v>0.57</v>
      </c>
    </row>
    <row r="15" customFormat="false" ht="15" hidden="false" customHeight="false" outlineLevel="0" collapsed="false">
      <c r="A15" s="0" t="n">
        <v>2</v>
      </c>
      <c r="B15" s="0" t="s">
        <v>547</v>
      </c>
      <c r="C15" s="0" t="n">
        <v>2</v>
      </c>
      <c r="D15" s="0" t="n">
        <v>0.5</v>
      </c>
      <c r="E15" s="0" t="n">
        <v>0.43</v>
      </c>
      <c r="F15" s="0" t="s">
        <v>548</v>
      </c>
      <c r="G15" s="0" t="n">
        <v>0.03</v>
      </c>
      <c r="H15" s="0" t="n">
        <v>0.54</v>
      </c>
    </row>
    <row r="16" customFormat="false" ht="15" hidden="false" customHeight="false" outlineLevel="0" collapsed="false">
      <c r="A16" s="0" t="n">
        <v>2</v>
      </c>
      <c r="B16" s="0" t="s">
        <v>547</v>
      </c>
      <c r="C16" s="0" t="n">
        <v>2</v>
      </c>
      <c r="D16" s="0" t="n">
        <v>0.5</v>
      </c>
      <c r="E16" s="0" t="n">
        <v>0.48</v>
      </c>
      <c r="F16" s="0" t="s">
        <v>548</v>
      </c>
      <c r="G16" s="0" t="n">
        <v>0</v>
      </c>
      <c r="H16" s="0" t="n">
        <v>0.52</v>
      </c>
    </row>
    <row r="17" customFormat="false" ht="15" hidden="false" customHeight="false" outlineLevel="0" collapsed="false">
      <c r="A17" s="0" t="n">
        <v>2</v>
      </c>
      <c r="B17" s="0" t="s">
        <v>547</v>
      </c>
      <c r="C17" s="0" t="n">
        <v>2</v>
      </c>
      <c r="D17" s="0" t="n">
        <v>0.5</v>
      </c>
      <c r="E17" s="0" t="n">
        <v>0.48</v>
      </c>
      <c r="F17" s="0" t="s">
        <v>548</v>
      </c>
      <c r="G17" s="0" t="n">
        <v>0.03</v>
      </c>
      <c r="H17" s="0" t="n">
        <v>0.49</v>
      </c>
    </row>
    <row r="18" customFormat="false" ht="15" hidden="false" customHeight="false" outlineLevel="0" collapsed="false">
      <c r="A18" s="0" t="n">
        <v>2</v>
      </c>
      <c r="B18" s="0" t="s">
        <v>547</v>
      </c>
      <c r="C18" s="0" t="n">
        <v>2</v>
      </c>
      <c r="D18" s="0" t="n">
        <v>0.5</v>
      </c>
      <c r="E18" s="0" t="n">
        <v>0.6</v>
      </c>
      <c r="F18" s="0" t="s">
        <v>549</v>
      </c>
      <c r="G18" s="0" t="n">
        <v>0</v>
      </c>
      <c r="H18" s="0" t="n">
        <v>0.4</v>
      </c>
    </row>
    <row r="19" customFormat="false" ht="15" hidden="false" customHeight="false" outlineLevel="0" collapsed="false">
      <c r="A19" s="0" t="n">
        <v>2</v>
      </c>
      <c r="B19" s="0" t="s">
        <v>547</v>
      </c>
      <c r="C19" s="0" t="n">
        <v>2</v>
      </c>
      <c r="D19" s="0" t="n">
        <v>0.5</v>
      </c>
      <c r="E19" s="0" t="n">
        <v>0.6</v>
      </c>
      <c r="F19" s="0" t="s">
        <v>549</v>
      </c>
      <c r="G19" s="0" t="n">
        <v>0.03</v>
      </c>
      <c r="H19" s="0" t="n">
        <v>0.37</v>
      </c>
    </row>
    <row r="20" customFormat="false" ht="15" hidden="false" customHeight="false" outlineLevel="0" collapsed="false">
      <c r="A20" s="0" t="n">
        <v>2</v>
      </c>
      <c r="B20" s="0" t="s">
        <v>547</v>
      </c>
      <c r="C20" s="0" t="n">
        <v>2</v>
      </c>
      <c r="D20" s="0" t="n">
        <v>0.5</v>
      </c>
      <c r="E20" s="0" t="n">
        <v>0.8</v>
      </c>
      <c r="F20" s="0" t="s">
        <v>549</v>
      </c>
      <c r="G20" s="0" t="n">
        <v>0</v>
      </c>
      <c r="H20" s="0" t="n">
        <v>0.2</v>
      </c>
    </row>
    <row r="21" customFormat="false" ht="15" hidden="false" customHeight="false" outlineLevel="0" collapsed="false">
      <c r="A21" s="0" t="n">
        <v>2</v>
      </c>
      <c r="B21" s="0" t="s">
        <v>547</v>
      </c>
      <c r="C21" s="0" t="n">
        <v>2</v>
      </c>
      <c r="D21" s="0" t="n">
        <v>0.5</v>
      </c>
      <c r="E21" s="0" t="n">
        <v>0.8</v>
      </c>
      <c r="F21" s="0" t="s">
        <v>549</v>
      </c>
      <c r="G21" s="0" t="n">
        <v>0.03</v>
      </c>
      <c r="H21" s="0" t="n">
        <v>0.17</v>
      </c>
    </row>
    <row r="22" customFormat="false" ht="15" hidden="false" customHeight="false" outlineLevel="0" collapsed="false">
      <c r="A22" s="0" t="n">
        <v>2</v>
      </c>
      <c r="B22" s="0" t="s">
        <v>547</v>
      </c>
      <c r="C22" s="0" t="n">
        <v>2</v>
      </c>
      <c r="D22" s="0" t="n">
        <v>0.6</v>
      </c>
      <c r="E22" s="0" t="n">
        <v>0.38</v>
      </c>
      <c r="F22" s="0" t="s">
        <v>548</v>
      </c>
      <c r="G22" s="0" t="n">
        <v>0</v>
      </c>
      <c r="H22" s="0" t="n">
        <v>0.42</v>
      </c>
    </row>
    <row r="23" customFormat="false" ht="15" hidden="false" customHeight="false" outlineLevel="0" collapsed="false">
      <c r="A23" s="0" t="n">
        <v>2</v>
      </c>
      <c r="B23" s="0" t="s">
        <v>547</v>
      </c>
      <c r="C23" s="0" t="n">
        <v>2</v>
      </c>
      <c r="D23" s="0" t="n">
        <v>0.6</v>
      </c>
      <c r="E23" s="0" t="n">
        <v>0.38</v>
      </c>
      <c r="F23" s="0" t="s">
        <v>548</v>
      </c>
      <c r="G23" s="0" t="n">
        <v>0.03</v>
      </c>
      <c r="H23" s="0" t="n">
        <v>0.39</v>
      </c>
    </row>
    <row r="24" customFormat="false" ht="15" hidden="false" customHeight="false" outlineLevel="0" collapsed="false">
      <c r="A24" s="0" t="n">
        <v>2</v>
      </c>
      <c r="B24" s="0" t="s">
        <v>547</v>
      </c>
      <c r="C24" s="0" t="n">
        <v>2</v>
      </c>
      <c r="D24" s="0" t="n">
        <v>0.6</v>
      </c>
      <c r="E24" s="0" t="n">
        <v>0.43</v>
      </c>
      <c r="F24" s="0" t="s">
        <v>548</v>
      </c>
      <c r="G24" s="0" t="n">
        <v>0</v>
      </c>
      <c r="H24" s="0" t="n">
        <v>0.37</v>
      </c>
    </row>
    <row r="25" customFormat="false" ht="15" hidden="false" customHeight="false" outlineLevel="0" collapsed="false">
      <c r="A25" s="0" t="n">
        <v>2</v>
      </c>
      <c r="B25" s="0" t="s">
        <v>547</v>
      </c>
      <c r="C25" s="0" t="n">
        <v>2</v>
      </c>
      <c r="D25" s="0" t="n">
        <v>0.6</v>
      </c>
      <c r="E25" s="0" t="n">
        <v>0.43</v>
      </c>
      <c r="F25" s="0" t="s">
        <v>548</v>
      </c>
      <c r="G25" s="0" t="n">
        <v>0.03</v>
      </c>
      <c r="H25" s="0" t="n">
        <v>0.34</v>
      </c>
    </row>
    <row r="26" customFormat="false" ht="15" hidden="false" customHeight="false" outlineLevel="0" collapsed="false">
      <c r="A26" s="0" t="n">
        <v>2</v>
      </c>
      <c r="B26" s="0" t="s">
        <v>547</v>
      </c>
      <c r="C26" s="0" t="n">
        <v>2</v>
      </c>
      <c r="D26" s="0" t="n">
        <v>0.6</v>
      </c>
      <c r="E26" s="0" t="n">
        <v>0.48</v>
      </c>
      <c r="F26" s="0" t="s">
        <v>548</v>
      </c>
      <c r="G26" s="0" t="n">
        <v>0</v>
      </c>
      <c r="H26" s="0" t="n">
        <v>0.32</v>
      </c>
    </row>
    <row r="27" customFormat="false" ht="15" hidden="false" customHeight="false" outlineLevel="0" collapsed="false">
      <c r="A27" s="0" t="n">
        <v>2</v>
      </c>
      <c r="B27" s="0" t="s">
        <v>547</v>
      </c>
      <c r="C27" s="0" t="n">
        <v>2</v>
      </c>
      <c r="D27" s="0" t="n">
        <v>0.6</v>
      </c>
      <c r="E27" s="0" t="n">
        <v>0.48</v>
      </c>
      <c r="F27" s="0" t="s">
        <v>548</v>
      </c>
      <c r="G27" s="0" t="n">
        <v>0.03</v>
      </c>
      <c r="H27" s="0" t="n">
        <v>0.29</v>
      </c>
    </row>
    <row r="28" customFormat="false" ht="15" hidden="false" customHeight="false" outlineLevel="0" collapsed="false">
      <c r="A28" s="0" t="n">
        <v>2</v>
      </c>
      <c r="B28" s="0" t="s">
        <v>547</v>
      </c>
      <c r="C28" s="0" t="n">
        <v>2</v>
      </c>
      <c r="D28" s="0" t="n">
        <v>0.6</v>
      </c>
      <c r="E28" s="0" t="n">
        <v>0.6</v>
      </c>
      <c r="F28" s="0" t="s">
        <v>549</v>
      </c>
      <c r="G28" s="0" t="n">
        <v>0</v>
      </c>
      <c r="H28" s="0" t="n">
        <v>0.2</v>
      </c>
    </row>
    <row r="29" customFormat="false" ht="15" hidden="false" customHeight="false" outlineLevel="0" collapsed="false">
      <c r="A29" s="0" t="n">
        <v>2</v>
      </c>
      <c r="B29" s="0" t="s">
        <v>547</v>
      </c>
      <c r="C29" s="0" t="n">
        <v>2</v>
      </c>
      <c r="D29" s="0" t="n">
        <v>0.6</v>
      </c>
      <c r="E29" s="0" t="n">
        <v>0.6</v>
      </c>
      <c r="F29" s="0" t="s">
        <v>549</v>
      </c>
      <c r="G29" s="0" t="n">
        <v>0.03</v>
      </c>
      <c r="H29" s="0" t="n">
        <v>0.17</v>
      </c>
    </row>
    <row r="30" customFormat="false" ht="15" hidden="false" customHeight="false" outlineLevel="0" collapsed="false">
      <c r="A30" s="0" t="n">
        <v>2</v>
      </c>
      <c r="B30" s="0" t="s">
        <v>547</v>
      </c>
      <c r="C30" s="0" t="n">
        <v>2</v>
      </c>
      <c r="D30" s="0" t="n">
        <v>0.6</v>
      </c>
      <c r="E30" s="0" t="n">
        <v>0.8</v>
      </c>
      <c r="F30" s="0" t="s">
        <v>549</v>
      </c>
      <c r="G30" s="0" t="n">
        <v>0</v>
      </c>
      <c r="H30" s="0" t="n">
        <v>0</v>
      </c>
    </row>
    <row r="31" customFormat="false" ht="15" hidden="false" customHeight="false" outlineLevel="0" collapsed="false">
      <c r="A31" s="0" t="n">
        <v>2</v>
      </c>
      <c r="B31" s="0" t="s">
        <v>547</v>
      </c>
      <c r="C31" s="0" t="n">
        <v>2</v>
      </c>
      <c r="D31" s="0" t="n">
        <v>0.6</v>
      </c>
      <c r="E31" s="0" t="n">
        <v>0.8</v>
      </c>
      <c r="F31" s="0" t="s">
        <v>549</v>
      </c>
      <c r="G31" s="0" t="n">
        <v>0.03</v>
      </c>
      <c r="H31" s="0" t="n">
        <v>-0.03</v>
      </c>
    </row>
    <row r="32" customFormat="false" ht="15" hidden="false" customHeight="false" outlineLevel="0" collapsed="false">
      <c r="A32" s="0" t="n">
        <v>2</v>
      </c>
      <c r="B32" s="0" t="s">
        <v>550</v>
      </c>
      <c r="C32" s="0" t="n">
        <v>1.695</v>
      </c>
      <c r="D32" s="0" t="n">
        <v>0.4</v>
      </c>
      <c r="E32" s="0" t="n">
        <v>0.38</v>
      </c>
      <c r="F32" s="0" t="s">
        <v>548</v>
      </c>
      <c r="G32" s="0" t="n">
        <v>0</v>
      </c>
      <c r="H32" s="0" t="n">
        <v>0.637</v>
      </c>
    </row>
    <row r="33" customFormat="false" ht="15" hidden="false" customHeight="false" outlineLevel="0" collapsed="false">
      <c r="A33" s="0" t="n">
        <v>2</v>
      </c>
      <c r="B33" s="0" t="s">
        <v>550</v>
      </c>
      <c r="C33" s="0" t="n">
        <v>1.695</v>
      </c>
      <c r="D33" s="0" t="n">
        <v>0.4</v>
      </c>
      <c r="E33" s="0" t="n">
        <v>0.38</v>
      </c>
      <c r="F33" s="0" t="s">
        <v>548</v>
      </c>
      <c r="G33" s="0" t="n">
        <v>0.03</v>
      </c>
      <c r="H33" s="0" t="n">
        <v>0.607</v>
      </c>
    </row>
    <row r="34" customFormat="false" ht="15" hidden="false" customHeight="false" outlineLevel="0" collapsed="false">
      <c r="A34" s="0" t="n">
        <v>2</v>
      </c>
      <c r="B34" s="0" t="s">
        <v>550</v>
      </c>
      <c r="C34" s="0" t="n">
        <v>1.695</v>
      </c>
      <c r="D34" s="0" t="n">
        <v>0.4</v>
      </c>
      <c r="E34" s="0" t="n">
        <v>0.43</v>
      </c>
      <c r="F34" s="0" t="s">
        <v>548</v>
      </c>
      <c r="G34" s="0" t="n">
        <v>0</v>
      </c>
      <c r="H34" s="0" t="n">
        <v>0.587</v>
      </c>
    </row>
    <row r="35" customFormat="false" ht="15" hidden="false" customHeight="false" outlineLevel="0" collapsed="false">
      <c r="A35" s="0" t="n">
        <v>2</v>
      </c>
      <c r="B35" s="0" t="s">
        <v>550</v>
      </c>
      <c r="C35" s="0" t="n">
        <v>1.695</v>
      </c>
      <c r="D35" s="0" t="n">
        <v>0.4</v>
      </c>
      <c r="E35" s="0" t="n">
        <v>0.43</v>
      </c>
      <c r="F35" s="0" t="s">
        <v>548</v>
      </c>
      <c r="G35" s="0" t="n">
        <v>0.03</v>
      </c>
      <c r="H35" s="0" t="n">
        <v>0.557</v>
      </c>
    </row>
    <row r="36" customFormat="false" ht="15" hidden="false" customHeight="false" outlineLevel="0" collapsed="false">
      <c r="A36" s="0" t="n">
        <v>2</v>
      </c>
      <c r="B36" s="0" t="s">
        <v>550</v>
      </c>
      <c r="C36" s="0" t="n">
        <v>1.695</v>
      </c>
      <c r="D36" s="0" t="n">
        <v>0.4</v>
      </c>
      <c r="E36" s="0" t="n">
        <v>0.48</v>
      </c>
      <c r="F36" s="0" t="s">
        <v>548</v>
      </c>
      <c r="G36" s="0" t="n">
        <v>0</v>
      </c>
      <c r="H36" s="0" t="n">
        <v>0.537</v>
      </c>
    </row>
    <row r="37" customFormat="false" ht="15" hidden="false" customHeight="false" outlineLevel="0" collapsed="false">
      <c r="A37" s="0" t="n">
        <v>2</v>
      </c>
      <c r="B37" s="0" t="s">
        <v>550</v>
      </c>
      <c r="C37" s="0" t="n">
        <v>1.695</v>
      </c>
      <c r="D37" s="0" t="n">
        <v>0.4</v>
      </c>
      <c r="E37" s="0" t="n">
        <v>0.48</v>
      </c>
      <c r="F37" s="0" t="s">
        <v>548</v>
      </c>
      <c r="G37" s="0" t="n">
        <v>0.03</v>
      </c>
      <c r="H37" s="0" t="n">
        <v>0.507</v>
      </c>
    </row>
    <row r="38" customFormat="false" ht="15" hidden="false" customHeight="false" outlineLevel="0" collapsed="false">
      <c r="A38" s="0" t="n">
        <v>2</v>
      </c>
      <c r="B38" s="0" t="s">
        <v>550</v>
      </c>
      <c r="C38" s="0" t="n">
        <v>1.695</v>
      </c>
      <c r="D38" s="0" t="n">
        <v>0.4</v>
      </c>
      <c r="E38" s="0" t="n">
        <v>0.6</v>
      </c>
      <c r="F38" s="0" t="s">
        <v>549</v>
      </c>
      <c r="G38" s="0" t="n">
        <v>0</v>
      </c>
      <c r="H38" s="0" t="n">
        <v>0.417</v>
      </c>
    </row>
    <row r="39" customFormat="false" ht="15" hidden="false" customHeight="false" outlineLevel="0" collapsed="false">
      <c r="A39" s="0" t="n">
        <v>2</v>
      </c>
      <c r="B39" s="0" t="s">
        <v>550</v>
      </c>
      <c r="C39" s="0" t="n">
        <v>1.695</v>
      </c>
      <c r="D39" s="0" t="n">
        <v>0.4</v>
      </c>
      <c r="E39" s="0" t="n">
        <v>0.6</v>
      </c>
      <c r="F39" s="0" t="s">
        <v>549</v>
      </c>
      <c r="G39" s="0" t="n">
        <v>0.03</v>
      </c>
      <c r="H39" s="0" t="n">
        <v>0.387</v>
      </c>
    </row>
    <row r="40" customFormat="false" ht="15" hidden="false" customHeight="false" outlineLevel="0" collapsed="false">
      <c r="A40" s="0" t="n">
        <v>2</v>
      </c>
      <c r="B40" s="0" t="s">
        <v>550</v>
      </c>
      <c r="C40" s="0" t="n">
        <v>1.695</v>
      </c>
      <c r="D40" s="0" t="n">
        <v>0.4</v>
      </c>
      <c r="E40" s="0" t="n">
        <v>0.8</v>
      </c>
      <c r="F40" s="0" t="s">
        <v>549</v>
      </c>
      <c r="G40" s="0" t="n">
        <v>0</v>
      </c>
      <c r="H40" s="0" t="n">
        <v>0.217</v>
      </c>
    </row>
    <row r="41" customFormat="false" ht="15" hidden="false" customHeight="false" outlineLevel="0" collapsed="false">
      <c r="A41" s="0" t="n">
        <v>2</v>
      </c>
      <c r="B41" s="0" t="s">
        <v>550</v>
      </c>
      <c r="C41" s="0" t="n">
        <v>1.695</v>
      </c>
      <c r="D41" s="0" t="n">
        <v>0.4</v>
      </c>
      <c r="E41" s="0" t="n">
        <v>0.8</v>
      </c>
      <c r="F41" s="0" t="s">
        <v>549</v>
      </c>
      <c r="G41" s="0" t="n">
        <v>0.03</v>
      </c>
      <c r="H41" s="0" t="n">
        <v>0.187</v>
      </c>
    </row>
    <row r="42" customFormat="false" ht="15" hidden="false" customHeight="false" outlineLevel="0" collapsed="false">
      <c r="A42" s="0" t="n">
        <v>2</v>
      </c>
      <c r="B42" s="0" t="s">
        <v>550</v>
      </c>
      <c r="C42" s="0" t="n">
        <v>1.695</v>
      </c>
      <c r="D42" s="0" t="n">
        <v>0.5</v>
      </c>
      <c r="E42" s="0" t="n">
        <v>0.38</v>
      </c>
      <c r="F42" s="0" t="s">
        <v>548</v>
      </c>
      <c r="G42" s="0" t="n">
        <v>0</v>
      </c>
      <c r="H42" s="0" t="n">
        <v>0.467</v>
      </c>
    </row>
    <row r="43" customFormat="false" ht="15" hidden="false" customHeight="false" outlineLevel="0" collapsed="false">
      <c r="A43" s="0" t="n">
        <v>2</v>
      </c>
      <c r="B43" s="0" t="s">
        <v>550</v>
      </c>
      <c r="C43" s="0" t="n">
        <v>1.695</v>
      </c>
      <c r="D43" s="0" t="n">
        <v>0.5</v>
      </c>
      <c r="E43" s="0" t="n">
        <v>0.38</v>
      </c>
      <c r="F43" s="0" t="s">
        <v>548</v>
      </c>
      <c r="G43" s="0" t="n">
        <v>0.03</v>
      </c>
      <c r="H43" s="0" t="n">
        <v>0.437</v>
      </c>
    </row>
    <row r="44" customFormat="false" ht="15" hidden="false" customHeight="false" outlineLevel="0" collapsed="false">
      <c r="A44" s="0" t="n">
        <v>2</v>
      </c>
      <c r="B44" s="0" t="s">
        <v>550</v>
      </c>
      <c r="C44" s="0" t="n">
        <v>1.695</v>
      </c>
      <c r="D44" s="0" t="n">
        <v>0.5</v>
      </c>
      <c r="E44" s="0" t="n">
        <v>0.43</v>
      </c>
      <c r="F44" s="0" t="s">
        <v>548</v>
      </c>
      <c r="G44" s="0" t="n">
        <v>0</v>
      </c>
      <c r="H44" s="0" t="n">
        <v>0.417</v>
      </c>
    </row>
    <row r="45" customFormat="false" ht="15" hidden="false" customHeight="false" outlineLevel="0" collapsed="false">
      <c r="A45" s="0" t="n">
        <v>2</v>
      </c>
      <c r="B45" s="0" t="s">
        <v>550</v>
      </c>
      <c r="C45" s="0" t="n">
        <v>1.695</v>
      </c>
      <c r="D45" s="0" t="n">
        <v>0.5</v>
      </c>
      <c r="E45" s="0" t="n">
        <v>0.43</v>
      </c>
      <c r="F45" s="0" t="s">
        <v>548</v>
      </c>
      <c r="G45" s="0" t="n">
        <v>0.03</v>
      </c>
      <c r="H45" s="0" t="n">
        <v>0.387</v>
      </c>
    </row>
    <row r="46" customFormat="false" ht="15" hidden="false" customHeight="false" outlineLevel="0" collapsed="false">
      <c r="A46" s="0" t="n">
        <v>2</v>
      </c>
      <c r="B46" s="0" t="s">
        <v>550</v>
      </c>
      <c r="C46" s="0" t="n">
        <v>1.695</v>
      </c>
      <c r="D46" s="0" t="n">
        <v>0.5</v>
      </c>
      <c r="E46" s="0" t="n">
        <v>0.48</v>
      </c>
      <c r="F46" s="0" t="s">
        <v>548</v>
      </c>
      <c r="G46" s="0" t="n">
        <v>0</v>
      </c>
      <c r="H46" s="0" t="n">
        <v>0.367</v>
      </c>
    </row>
    <row r="47" customFormat="false" ht="15" hidden="false" customHeight="false" outlineLevel="0" collapsed="false">
      <c r="A47" s="0" t="n">
        <v>2</v>
      </c>
      <c r="B47" s="0" t="s">
        <v>550</v>
      </c>
      <c r="C47" s="0" t="n">
        <v>1.695</v>
      </c>
      <c r="D47" s="0" t="n">
        <v>0.5</v>
      </c>
      <c r="E47" s="0" t="n">
        <v>0.48</v>
      </c>
      <c r="F47" s="0" t="s">
        <v>548</v>
      </c>
      <c r="G47" s="0" t="n">
        <v>0.03</v>
      </c>
      <c r="H47" s="0" t="n">
        <v>0.337</v>
      </c>
    </row>
    <row r="48" customFormat="false" ht="15" hidden="false" customHeight="false" outlineLevel="0" collapsed="false">
      <c r="A48" s="0" t="n">
        <v>2</v>
      </c>
      <c r="B48" s="0" t="s">
        <v>550</v>
      </c>
      <c r="C48" s="0" t="n">
        <v>1.695</v>
      </c>
      <c r="D48" s="0" t="n">
        <v>0.5</v>
      </c>
      <c r="E48" s="0" t="n">
        <v>0.6</v>
      </c>
      <c r="F48" s="0" t="s">
        <v>549</v>
      </c>
      <c r="G48" s="0" t="n">
        <v>0</v>
      </c>
      <c r="H48" s="0" t="n">
        <v>0.247</v>
      </c>
    </row>
    <row r="49" customFormat="false" ht="15" hidden="false" customHeight="false" outlineLevel="0" collapsed="false">
      <c r="A49" s="0" t="n">
        <v>2</v>
      </c>
      <c r="B49" s="0" t="s">
        <v>550</v>
      </c>
      <c r="C49" s="0" t="n">
        <v>1.695</v>
      </c>
      <c r="D49" s="0" t="n">
        <v>0.5</v>
      </c>
      <c r="E49" s="0" t="n">
        <v>0.6</v>
      </c>
      <c r="F49" s="0" t="s">
        <v>549</v>
      </c>
      <c r="G49" s="0" t="n">
        <v>0.03</v>
      </c>
      <c r="H49" s="0" t="n">
        <v>0.217</v>
      </c>
    </row>
    <row r="50" customFormat="false" ht="15" hidden="false" customHeight="false" outlineLevel="0" collapsed="false">
      <c r="A50" s="0" t="n">
        <v>2</v>
      </c>
      <c r="B50" s="0" t="s">
        <v>550</v>
      </c>
      <c r="C50" s="0" t="n">
        <v>1.695</v>
      </c>
      <c r="D50" s="0" t="n">
        <v>0.5</v>
      </c>
      <c r="E50" s="0" t="n">
        <v>0.8</v>
      </c>
      <c r="F50" s="0" t="s">
        <v>549</v>
      </c>
      <c r="G50" s="0" t="n">
        <v>0</v>
      </c>
      <c r="H50" s="0" t="n">
        <v>0.047</v>
      </c>
    </row>
    <row r="51" customFormat="false" ht="15" hidden="false" customHeight="false" outlineLevel="0" collapsed="false">
      <c r="A51" s="0" t="n">
        <v>2</v>
      </c>
      <c r="B51" s="0" t="s">
        <v>550</v>
      </c>
      <c r="C51" s="0" t="n">
        <v>1.695</v>
      </c>
      <c r="D51" s="0" t="n">
        <v>0.5</v>
      </c>
      <c r="E51" s="0" t="n">
        <v>0.8</v>
      </c>
      <c r="F51" s="0" t="s">
        <v>549</v>
      </c>
      <c r="G51" s="0" t="n">
        <v>0.03</v>
      </c>
      <c r="H51" s="0" t="n">
        <v>0.017</v>
      </c>
    </row>
    <row r="52" customFormat="false" ht="15" hidden="false" customHeight="false" outlineLevel="0" collapsed="false">
      <c r="A52" s="0" t="n">
        <v>2</v>
      </c>
      <c r="B52" s="0" t="s">
        <v>550</v>
      </c>
      <c r="C52" s="0" t="n">
        <v>1.695</v>
      </c>
      <c r="D52" s="0" t="n">
        <v>0.6</v>
      </c>
      <c r="E52" s="0" t="n">
        <v>0.38</v>
      </c>
      <c r="F52" s="0" t="s">
        <v>548</v>
      </c>
      <c r="G52" s="0" t="n">
        <v>0</v>
      </c>
      <c r="H52" s="0" t="n">
        <v>0.298</v>
      </c>
    </row>
    <row r="53" customFormat="false" ht="15" hidden="false" customHeight="false" outlineLevel="0" collapsed="false">
      <c r="A53" s="0" t="n">
        <v>2</v>
      </c>
      <c r="B53" s="0" t="s">
        <v>550</v>
      </c>
      <c r="C53" s="0" t="n">
        <v>1.695</v>
      </c>
      <c r="D53" s="0" t="n">
        <v>0.6</v>
      </c>
      <c r="E53" s="0" t="n">
        <v>0.38</v>
      </c>
      <c r="F53" s="0" t="s">
        <v>548</v>
      </c>
      <c r="G53" s="0" t="n">
        <v>0.03</v>
      </c>
      <c r="H53" s="0" t="n">
        <v>0.268</v>
      </c>
    </row>
    <row r="54" customFormat="false" ht="15" hidden="false" customHeight="false" outlineLevel="0" collapsed="false">
      <c r="A54" s="0" t="n">
        <v>2</v>
      </c>
      <c r="B54" s="0" t="s">
        <v>550</v>
      </c>
      <c r="C54" s="0" t="n">
        <v>1.695</v>
      </c>
      <c r="D54" s="0" t="n">
        <v>0.6</v>
      </c>
      <c r="E54" s="0" t="n">
        <v>0.43</v>
      </c>
      <c r="F54" s="0" t="s">
        <v>548</v>
      </c>
      <c r="G54" s="0" t="n">
        <v>0</v>
      </c>
      <c r="H54" s="0" t="n">
        <v>0.248</v>
      </c>
    </row>
    <row r="55" customFormat="false" ht="15" hidden="false" customHeight="false" outlineLevel="0" collapsed="false">
      <c r="A55" s="0" t="n">
        <v>2</v>
      </c>
      <c r="B55" s="0" t="s">
        <v>550</v>
      </c>
      <c r="C55" s="0" t="n">
        <v>1.695</v>
      </c>
      <c r="D55" s="0" t="n">
        <v>0.6</v>
      </c>
      <c r="E55" s="0" t="n">
        <v>0.43</v>
      </c>
      <c r="F55" s="0" t="s">
        <v>548</v>
      </c>
      <c r="G55" s="0" t="n">
        <v>0.03</v>
      </c>
      <c r="H55" s="0" t="n">
        <v>0.218</v>
      </c>
    </row>
    <row r="56" customFormat="false" ht="15" hidden="false" customHeight="false" outlineLevel="0" collapsed="false">
      <c r="A56" s="0" t="n">
        <v>2</v>
      </c>
      <c r="B56" s="0" t="s">
        <v>550</v>
      </c>
      <c r="C56" s="0" t="n">
        <v>1.695</v>
      </c>
      <c r="D56" s="0" t="n">
        <v>0.6</v>
      </c>
      <c r="E56" s="0" t="n">
        <v>0.48</v>
      </c>
      <c r="F56" s="0" t="s">
        <v>548</v>
      </c>
      <c r="G56" s="0" t="n">
        <v>0</v>
      </c>
      <c r="H56" s="0" t="n">
        <v>0.198</v>
      </c>
    </row>
    <row r="57" customFormat="false" ht="15" hidden="false" customHeight="false" outlineLevel="0" collapsed="false">
      <c r="A57" s="0" t="n">
        <v>2</v>
      </c>
      <c r="B57" s="0" t="s">
        <v>550</v>
      </c>
      <c r="C57" s="0" t="n">
        <v>1.695</v>
      </c>
      <c r="D57" s="0" t="n">
        <v>0.6</v>
      </c>
      <c r="E57" s="0" t="n">
        <v>0.48</v>
      </c>
      <c r="F57" s="0" t="s">
        <v>548</v>
      </c>
      <c r="G57" s="0" t="n">
        <v>0.03</v>
      </c>
      <c r="H57" s="0" t="n">
        <v>0.168</v>
      </c>
    </row>
    <row r="58" customFormat="false" ht="15" hidden="false" customHeight="false" outlineLevel="0" collapsed="false">
      <c r="A58" s="0" t="n">
        <v>2</v>
      </c>
      <c r="B58" s="0" t="s">
        <v>550</v>
      </c>
      <c r="C58" s="0" t="n">
        <v>1.695</v>
      </c>
      <c r="D58" s="0" t="n">
        <v>0.6</v>
      </c>
      <c r="E58" s="0" t="n">
        <v>0.6</v>
      </c>
      <c r="F58" s="0" t="s">
        <v>549</v>
      </c>
      <c r="G58" s="0" t="n">
        <v>0</v>
      </c>
      <c r="H58" s="0" t="n">
        <v>0.078</v>
      </c>
    </row>
    <row r="59" customFormat="false" ht="15" hidden="false" customHeight="false" outlineLevel="0" collapsed="false">
      <c r="A59" s="0" t="n">
        <v>2</v>
      </c>
      <c r="B59" s="0" t="s">
        <v>550</v>
      </c>
      <c r="C59" s="0" t="n">
        <v>1.695</v>
      </c>
      <c r="D59" s="0" t="n">
        <v>0.6</v>
      </c>
      <c r="E59" s="0" t="n">
        <v>0.6</v>
      </c>
      <c r="F59" s="0" t="s">
        <v>549</v>
      </c>
      <c r="G59" s="0" t="n">
        <v>0.03</v>
      </c>
      <c r="H59" s="0" t="n">
        <v>0.048</v>
      </c>
    </row>
    <row r="60" customFormat="false" ht="15" hidden="false" customHeight="false" outlineLevel="0" collapsed="false">
      <c r="A60" s="0" t="n">
        <v>2</v>
      </c>
      <c r="B60" s="0" t="s">
        <v>550</v>
      </c>
      <c r="C60" s="0" t="n">
        <v>1.695</v>
      </c>
      <c r="D60" s="0" t="n">
        <v>0.6</v>
      </c>
      <c r="E60" s="0" t="n">
        <v>0.8</v>
      </c>
      <c r="F60" s="0" t="s">
        <v>549</v>
      </c>
      <c r="G60" s="0" t="n">
        <v>0</v>
      </c>
      <c r="H60" s="0" t="n">
        <v>-0.122</v>
      </c>
    </row>
    <row r="61" customFormat="false" ht="15" hidden="false" customHeight="false" outlineLevel="0" collapsed="false">
      <c r="A61" s="0" t="n">
        <v>2</v>
      </c>
      <c r="B61" s="0" t="s">
        <v>550</v>
      </c>
      <c r="C61" s="0" t="n">
        <v>1.695</v>
      </c>
      <c r="D61" s="0" t="n">
        <v>0.6</v>
      </c>
      <c r="E61" s="0" t="n">
        <v>0.8</v>
      </c>
      <c r="F61" s="0" t="s">
        <v>549</v>
      </c>
      <c r="G61" s="0" t="n">
        <v>0.03</v>
      </c>
      <c r="H61" s="0" t="n">
        <v>-0.152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276</v>
      </c>
      <c r="B1" s="1" t="s">
        <v>309</v>
      </c>
      <c r="C1" s="1" t="s">
        <v>551</v>
      </c>
      <c r="D1" s="1" t="s">
        <v>552</v>
      </c>
      <c r="E1" s="1" t="s">
        <v>553</v>
      </c>
      <c r="F1" s="1" t="s">
        <v>554</v>
      </c>
      <c r="G1" s="1" t="s">
        <v>555</v>
      </c>
      <c r="H1" s="1" t="s">
        <v>556</v>
      </c>
      <c r="I1" s="1" t="s">
        <v>223</v>
      </c>
      <c r="J1" s="1" t="s">
        <v>481</v>
      </c>
      <c r="K1" s="1" t="s">
        <v>557</v>
      </c>
      <c r="L1" s="1" t="s">
        <v>558</v>
      </c>
      <c r="M1" s="1" t="s">
        <v>484</v>
      </c>
      <c r="N1" s="1" t="s">
        <v>485</v>
      </c>
      <c r="O1" s="1" t="s">
        <v>544</v>
      </c>
      <c r="P1" s="1" t="s">
        <v>559</v>
      </c>
      <c r="Q1" s="1" t="s">
        <v>560</v>
      </c>
      <c r="R1" s="1" t="s">
        <v>561</v>
      </c>
      <c r="S1" s="1" t="s">
        <v>562</v>
      </c>
    </row>
    <row r="2" customFormat="false" ht="15" hidden="false" customHeight="false" outlineLevel="0" collapsed="false">
      <c r="A2" s="0" t="s">
        <v>290</v>
      </c>
      <c r="B2" s="0" t="n">
        <v>1</v>
      </c>
      <c r="C2" s="0" t="n">
        <v>2.99</v>
      </c>
      <c r="D2" s="0" t="n">
        <v>2.99</v>
      </c>
      <c r="E2" s="0" t="n">
        <v>3.528</v>
      </c>
      <c r="F2" s="0" t="n">
        <v>0.382</v>
      </c>
      <c r="G2" s="0" t="n">
        <v>0.303</v>
      </c>
      <c r="H2" s="0" t="n">
        <v>0.33</v>
      </c>
      <c r="I2" s="0" t="n">
        <v>0</v>
      </c>
      <c r="J2" s="0" t="n">
        <v>1.015</v>
      </c>
      <c r="K2" s="0" t="n">
        <v>0.537</v>
      </c>
      <c r="L2" s="0" t="n">
        <v>0.03</v>
      </c>
      <c r="M2" s="0" t="n">
        <v>1.583</v>
      </c>
      <c r="N2" s="0" t="n">
        <v>1.583</v>
      </c>
      <c r="O2" s="0" t="n">
        <v>0.471</v>
      </c>
      <c r="P2" s="0" t="n">
        <v>0.65</v>
      </c>
      <c r="Q2" s="0" t="n">
        <v>0.4</v>
      </c>
      <c r="R2" s="0" t="n">
        <v>0.316</v>
      </c>
      <c r="S2" s="0" t="n">
        <v>0</v>
      </c>
    </row>
    <row r="3" customFormat="false" ht="15" hidden="false" customHeight="false" outlineLevel="0" collapsed="false">
      <c r="A3" s="0" t="s">
        <v>290</v>
      </c>
      <c r="B3" s="0" t="n">
        <v>3</v>
      </c>
      <c r="C3" s="0" t="n">
        <v>2.99</v>
      </c>
      <c r="D3" s="0" t="n">
        <v>8.97</v>
      </c>
      <c r="E3" s="0" t="n">
        <v>3.528</v>
      </c>
      <c r="F3" s="0" t="n">
        <v>0.382</v>
      </c>
      <c r="G3" s="0" t="n">
        <v>0.322</v>
      </c>
      <c r="H3" s="0" t="n">
        <v>0.33</v>
      </c>
      <c r="I3" s="0" t="n">
        <v>0</v>
      </c>
      <c r="J3" s="0" t="n">
        <v>1.034</v>
      </c>
      <c r="K3" s="0" t="n">
        <v>0.466</v>
      </c>
      <c r="L3" s="0" t="n">
        <v>0.03</v>
      </c>
      <c r="M3" s="0" t="n">
        <v>1.53</v>
      </c>
      <c r="N3" s="0" t="n">
        <v>4.59</v>
      </c>
      <c r="O3" s="0" t="n">
        <v>0.488</v>
      </c>
      <c r="P3" s="0" t="n">
        <v>0.644</v>
      </c>
      <c r="Q3" s="0" t="n">
        <v>0.427</v>
      </c>
      <c r="R3" s="0" t="n">
        <v>0.354</v>
      </c>
      <c r="S3" s="0" t="n">
        <v>0</v>
      </c>
    </row>
    <row r="4" customFormat="false" ht="15" hidden="false" customHeight="false" outlineLevel="0" collapsed="false">
      <c r="A4" s="0" t="s">
        <v>290</v>
      </c>
      <c r="B4" s="0" t="n">
        <v>5</v>
      </c>
      <c r="C4" s="0" t="n">
        <v>2.99</v>
      </c>
      <c r="D4" s="0" t="n">
        <v>14.95</v>
      </c>
      <c r="E4" s="0" t="n">
        <v>3.528</v>
      </c>
      <c r="F4" s="0" t="n">
        <v>0.382</v>
      </c>
      <c r="G4" s="0" t="n">
        <v>0.34</v>
      </c>
      <c r="H4" s="0" t="n">
        <v>0.33</v>
      </c>
      <c r="I4" s="0" t="n">
        <v>0</v>
      </c>
      <c r="J4" s="0" t="n">
        <v>1.053</v>
      </c>
      <c r="K4" s="0" t="n">
        <v>0.451</v>
      </c>
      <c r="L4" s="0" t="n">
        <v>0.03</v>
      </c>
      <c r="M4" s="0" t="n">
        <v>1.534</v>
      </c>
      <c r="N4" s="0" t="n">
        <v>7.672</v>
      </c>
      <c r="O4" s="0" t="n">
        <v>0.487</v>
      </c>
      <c r="P4" s="0" t="n">
        <v>0.638</v>
      </c>
      <c r="Q4" s="0" t="n">
        <v>0.427</v>
      </c>
      <c r="R4" s="0" t="n">
        <v>0.357</v>
      </c>
      <c r="S4" s="0" t="n">
        <v>0</v>
      </c>
    </row>
    <row r="5" customFormat="false" ht="15" hidden="false" customHeight="false" outlineLevel="0" collapsed="false">
      <c r="A5" s="0" t="s">
        <v>290</v>
      </c>
      <c r="B5" s="0" t="n">
        <v>10</v>
      </c>
      <c r="C5" s="0" t="n">
        <v>2.99</v>
      </c>
      <c r="D5" s="0" t="n">
        <v>29.9</v>
      </c>
      <c r="E5" s="0" t="n">
        <v>3.528</v>
      </c>
      <c r="F5" s="0" t="n">
        <v>0.382</v>
      </c>
      <c r="G5" s="0" t="n">
        <v>0.387</v>
      </c>
      <c r="H5" s="0" t="n">
        <v>0.33</v>
      </c>
      <c r="I5" s="0" t="n">
        <v>0</v>
      </c>
      <c r="J5" s="0" t="n">
        <v>1.1</v>
      </c>
      <c r="K5" s="0" t="n">
        <v>0.441</v>
      </c>
      <c r="L5" s="0" t="n">
        <v>0.03</v>
      </c>
      <c r="M5" s="0" t="n">
        <v>1.57</v>
      </c>
      <c r="N5" s="0" t="n">
        <v>15.705</v>
      </c>
      <c r="O5" s="0" t="n">
        <v>0.475</v>
      </c>
      <c r="P5" s="0" t="n">
        <v>0.622</v>
      </c>
      <c r="Q5" s="0" t="n">
        <v>0.416</v>
      </c>
      <c r="R5" s="0" t="n">
        <v>0.348</v>
      </c>
      <c r="S5" s="0" t="n">
        <v>0</v>
      </c>
    </row>
    <row r="6" customFormat="false" ht="15" hidden="false" customHeight="false" outlineLevel="0" collapsed="false">
      <c r="A6" s="0" t="s">
        <v>291</v>
      </c>
      <c r="B6" s="0" t="n">
        <v>1</v>
      </c>
      <c r="C6" s="0" t="n">
        <v>3.49</v>
      </c>
      <c r="D6" s="0" t="n">
        <v>3.49</v>
      </c>
      <c r="E6" s="0" t="n">
        <v>4.118</v>
      </c>
      <c r="F6" s="0" t="n">
        <v>0.382</v>
      </c>
      <c r="G6" s="0" t="n">
        <v>0.303</v>
      </c>
      <c r="H6" s="0" t="n">
        <v>0.862</v>
      </c>
      <c r="I6" s="0" t="n">
        <v>0</v>
      </c>
      <c r="J6" s="0" t="n">
        <v>1.547</v>
      </c>
      <c r="K6" s="0" t="n">
        <v>0.537</v>
      </c>
      <c r="L6" s="0" t="n">
        <v>0.03</v>
      </c>
      <c r="M6" s="0" t="n">
        <v>2.114</v>
      </c>
      <c r="N6" s="0" t="n">
        <v>2.114</v>
      </c>
      <c r="O6" s="0" t="n">
        <v>0.394</v>
      </c>
      <c r="P6" s="0" t="n">
        <v>0.548</v>
      </c>
      <c r="Q6" s="0" t="n">
        <v>0.333</v>
      </c>
      <c r="R6" s="0" t="n">
        <v>0.262</v>
      </c>
      <c r="S6" s="0" t="n">
        <v>0</v>
      </c>
    </row>
    <row r="7" customFormat="false" ht="15" hidden="false" customHeight="false" outlineLevel="0" collapsed="false">
      <c r="A7" s="0" t="s">
        <v>291</v>
      </c>
      <c r="B7" s="0" t="n">
        <v>3</v>
      </c>
      <c r="C7" s="0" t="n">
        <v>3.49</v>
      </c>
      <c r="D7" s="0" t="n">
        <v>10.47</v>
      </c>
      <c r="E7" s="0" t="n">
        <v>4.118</v>
      </c>
      <c r="F7" s="0" t="n">
        <v>0.382</v>
      </c>
      <c r="G7" s="0" t="n">
        <v>0.322</v>
      </c>
      <c r="H7" s="0" t="n">
        <v>0.862</v>
      </c>
      <c r="I7" s="0" t="n">
        <v>0</v>
      </c>
      <c r="J7" s="0" t="n">
        <v>1.566</v>
      </c>
      <c r="K7" s="0" t="n">
        <v>0.466</v>
      </c>
      <c r="L7" s="0" t="n">
        <v>0.03</v>
      </c>
      <c r="M7" s="0" t="n">
        <v>2.061</v>
      </c>
      <c r="N7" s="0" t="n">
        <v>6.184</v>
      </c>
      <c r="O7" s="0" t="n">
        <v>0.409</v>
      </c>
      <c r="P7" s="0" t="n">
        <v>0.543</v>
      </c>
      <c r="Q7" s="0" t="n">
        <v>0.357</v>
      </c>
      <c r="R7" s="0" t="n">
        <v>0.294</v>
      </c>
      <c r="S7" s="0" t="n">
        <v>0</v>
      </c>
    </row>
    <row r="8" customFormat="false" ht="15" hidden="false" customHeight="false" outlineLevel="0" collapsed="false">
      <c r="A8" s="0" t="s">
        <v>291</v>
      </c>
      <c r="B8" s="0" t="n">
        <v>5</v>
      </c>
      <c r="C8" s="0" t="n">
        <v>3.49</v>
      </c>
      <c r="D8" s="0" t="n">
        <v>17.45</v>
      </c>
      <c r="E8" s="0" t="n">
        <v>4.118</v>
      </c>
      <c r="F8" s="0" t="n">
        <v>0.382</v>
      </c>
      <c r="G8" s="0" t="n">
        <v>0.34</v>
      </c>
      <c r="H8" s="0" t="n">
        <v>0.862</v>
      </c>
      <c r="I8" s="0" t="n">
        <v>0</v>
      </c>
      <c r="J8" s="0" t="n">
        <v>1.584</v>
      </c>
      <c r="K8" s="0" t="n">
        <v>0.451</v>
      </c>
      <c r="L8" s="0" t="n">
        <v>0.03</v>
      </c>
      <c r="M8" s="0" t="n">
        <v>2.066</v>
      </c>
      <c r="N8" s="0" t="n">
        <v>10.329</v>
      </c>
      <c r="O8" s="0" t="n">
        <v>0.408</v>
      </c>
      <c r="P8" s="0" t="n">
        <v>0.537</v>
      </c>
      <c r="Q8" s="0" t="n">
        <v>0.357</v>
      </c>
      <c r="R8" s="0" t="n">
        <v>0.297</v>
      </c>
      <c r="S8" s="0" t="n">
        <v>0</v>
      </c>
    </row>
    <row r="9" customFormat="false" ht="15" hidden="false" customHeight="false" outlineLevel="0" collapsed="false">
      <c r="A9" s="0" t="s">
        <v>291</v>
      </c>
      <c r="B9" s="0" t="n">
        <v>10</v>
      </c>
      <c r="C9" s="0" t="n">
        <v>3.49</v>
      </c>
      <c r="D9" s="0" t="n">
        <v>34.9</v>
      </c>
      <c r="E9" s="0" t="n">
        <v>4.118</v>
      </c>
      <c r="F9" s="0" t="n">
        <v>0.382</v>
      </c>
      <c r="G9" s="0" t="n">
        <v>0.387</v>
      </c>
      <c r="H9" s="0" t="n">
        <v>0.862</v>
      </c>
      <c r="I9" s="0" t="n">
        <v>0</v>
      </c>
      <c r="J9" s="0" t="n">
        <v>1.631</v>
      </c>
      <c r="K9" s="0" t="n">
        <v>0.441</v>
      </c>
      <c r="L9" s="0" t="n">
        <v>0.03</v>
      </c>
      <c r="M9" s="0" t="n">
        <v>2.102</v>
      </c>
      <c r="N9" s="0" t="n">
        <v>21.019</v>
      </c>
      <c r="O9" s="0" t="n">
        <v>0.398</v>
      </c>
      <c r="P9" s="0" t="n">
        <v>0.524</v>
      </c>
      <c r="Q9" s="0" t="n">
        <v>0.348</v>
      </c>
      <c r="R9" s="0" t="n">
        <v>0.289</v>
      </c>
      <c r="S9" s="0" t="n">
        <v>0</v>
      </c>
    </row>
    <row r="10" customFormat="false" ht="15" hidden="false" customHeight="false" outlineLevel="0" collapsed="false">
      <c r="A10" s="0" t="s">
        <v>292</v>
      </c>
      <c r="B10" s="0" t="n">
        <v>1</v>
      </c>
      <c r="C10" s="0" t="n">
        <v>3.99</v>
      </c>
      <c r="D10" s="0" t="n">
        <v>3.99</v>
      </c>
      <c r="E10" s="0" t="n">
        <v>4.708</v>
      </c>
      <c r="F10" s="0" t="n">
        <v>0.382</v>
      </c>
      <c r="G10" s="0" t="n">
        <v>0.582</v>
      </c>
      <c r="H10" s="0" t="n">
        <v>0.33</v>
      </c>
      <c r="I10" s="0" t="n">
        <v>0.285</v>
      </c>
      <c r="J10" s="0" t="n">
        <v>1.579</v>
      </c>
      <c r="K10" s="0" t="n">
        <v>0.537</v>
      </c>
      <c r="L10" s="0" t="n">
        <v>0.03</v>
      </c>
      <c r="M10" s="0" t="n">
        <v>2.147</v>
      </c>
      <c r="N10" s="0" t="n">
        <v>2.147</v>
      </c>
      <c r="O10" s="0" t="n">
        <v>0.462</v>
      </c>
      <c r="P10" s="0" t="n">
        <v>0.597</v>
      </c>
      <c r="Q10" s="0" t="n">
        <v>0.409</v>
      </c>
      <c r="R10" s="0" t="n">
        <v>0.346</v>
      </c>
      <c r="S10" s="0" t="n">
        <v>0</v>
      </c>
    </row>
    <row r="11" customFormat="false" ht="15" hidden="false" customHeight="false" outlineLevel="0" collapsed="false">
      <c r="A11" s="0" t="s">
        <v>292</v>
      </c>
      <c r="B11" s="0" t="n">
        <v>3</v>
      </c>
      <c r="C11" s="0" t="n">
        <v>3.99</v>
      </c>
      <c r="D11" s="0" t="n">
        <v>11.97</v>
      </c>
      <c r="E11" s="0" t="n">
        <v>4.708</v>
      </c>
      <c r="F11" s="0" t="n">
        <v>0.382</v>
      </c>
      <c r="G11" s="0" t="n">
        <v>0.6</v>
      </c>
      <c r="H11" s="0" t="n">
        <v>0.33</v>
      </c>
      <c r="I11" s="0" t="n">
        <v>0.101</v>
      </c>
      <c r="J11" s="0" t="n">
        <v>1.414</v>
      </c>
      <c r="K11" s="0" t="n">
        <v>0.466</v>
      </c>
      <c r="L11" s="0" t="n">
        <v>0.03</v>
      </c>
      <c r="M11" s="0" t="n">
        <v>1.91</v>
      </c>
      <c r="N11" s="0" t="n">
        <v>5.729</v>
      </c>
      <c r="O11" s="0" t="n">
        <v>0.521</v>
      </c>
      <c r="P11" s="0" t="n">
        <v>0.638</v>
      </c>
      <c r="Q11" s="0" t="n">
        <v>0.475</v>
      </c>
      <c r="R11" s="0" t="n">
        <v>0.421</v>
      </c>
      <c r="S11" s="0" t="n">
        <v>0</v>
      </c>
    </row>
    <row r="12" customFormat="false" ht="15" hidden="false" customHeight="false" outlineLevel="0" collapsed="false">
      <c r="A12" s="0" t="s">
        <v>292</v>
      </c>
      <c r="B12" s="0" t="n">
        <v>5</v>
      </c>
      <c r="C12" s="0" t="n">
        <v>3.99</v>
      </c>
      <c r="D12" s="0" t="n">
        <v>19.95</v>
      </c>
      <c r="E12" s="0" t="n">
        <v>4.708</v>
      </c>
      <c r="F12" s="0" t="n">
        <v>0.382</v>
      </c>
      <c r="G12" s="0" t="n">
        <v>0.619</v>
      </c>
      <c r="H12" s="0" t="n">
        <v>0.33</v>
      </c>
      <c r="I12" s="0" t="n">
        <v>0.064</v>
      </c>
      <c r="J12" s="0" t="n">
        <v>1.396</v>
      </c>
      <c r="K12" s="0" t="n">
        <v>0.451</v>
      </c>
      <c r="L12" s="0" t="n">
        <v>0.03</v>
      </c>
      <c r="M12" s="0" t="n">
        <v>1.877</v>
      </c>
      <c r="N12" s="0" t="n">
        <v>9.386</v>
      </c>
      <c r="O12" s="0" t="n">
        <v>0.529</v>
      </c>
      <c r="P12" s="0" t="n">
        <v>0.643</v>
      </c>
      <c r="Q12" s="0" t="n">
        <v>0.485</v>
      </c>
      <c r="R12" s="0" t="n">
        <v>0.432</v>
      </c>
      <c r="S12" s="0" t="n">
        <v>0</v>
      </c>
    </row>
    <row r="13" customFormat="false" ht="15" hidden="false" customHeight="false" outlineLevel="0" collapsed="false">
      <c r="A13" s="0" t="s">
        <v>292</v>
      </c>
      <c r="B13" s="0" t="n">
        <v>10</v>
      </c>
      <c r="C13" s="0" t="n">
        <v>3.99</v>
      </c>
      <c r="D13" s="0" t="n">
        <v>39.9</v>
      </c>
      <c r="E13" s="0" t="n">
        <v>4.708</v>
      </c>
      <c r="F13" s="0" t="n">
        <v>0.382</v>
      </c>
      <c r="G13" s="0" t="n">
        <v>0.666</v>
      </c>
      <c r="H13" s="0" t="n">
        <v>0.33</v>
      </c>
      <c r="I13" s="0" t="n">
        <v>0.037</v>
      </c>
      <c r="J13" s="0" t="n">
        <v>1.415</v>
      </c>
      <c r="K13" s="0" t="n">
        <v>0.441</v>
      </c>
      <c r="L13" s="0" t="n">
        <v>0.03</v>
      </c>
      <c r="M13" s="0" t="n">
        <v>1.886</v>
      </c>
      <c r="N13" s="0" t="n">
        <v>18.858</v>
      </c>
      <c r="O13" s="0" t="n">
        <v>0.527</v>
      </c>
      <c r="P13" s="0" t="n">
        <v>0.638</v>
      </c>
      <c r="Q13" s="0" t="n">
        <v>0.484</v>
      </c>
      <c r="R13" s="0" t="n">
        <v>0.432</v>
      </c>
      <c r="S13" s="0" t="n">
        <v>0</v>
      </c>
    </row>
    <row r="14" customFormat="false" ht="15" hidden="false" customHeight="false" outlineLevel="0" collapsed="false">
      <c r="A14" s="0" t="s">
        <v>293</v>
      </c>
      <c r="B14" s="0" t="n">
        <v>1</v>
      </c>
      <c r="C14" s="0" t="n">
        <v>6.49</v>
      </c>
      <c r="D14" s="0" t="n">
        <v>6.49</v>
      </c>
      <c r="E14" s="0" t="n">
        <v>7.658</v>
      </c>
      <c r="F14" s="0" t="n">
        <v>0.751</v>
      </c>
      <c r="G14" s="0" t="n">
        <v>1.367</v>
      </c>
      <c r="H14" s="0" t="n">
        <v>0.549</v>
      </c>
      <c r="I14" s="0" t="n">
        <v>0.536</v>
      </c>
      <c r="J14" s="0" t="n">
        <v>3.203</v>
      </c>
      <c r="K14" s="0" t="n">
        <v>0.537</v>
      </c>
      <c r="L14" s="0" t="n">
        <v>0.03</v>
      </c>
      <c r="M14" s="0" t="n">
        <v>3.77</v>
      </c>
      <c r="N14" s="0" t="n">
        <v>3.77</v>
      </c>
      <c r="O14" s="0" t="n">
        <v>0.419</v>
      </c>
      <c r="P14" s="0" t="n">
        <v>0.502</v>
      </c>
      <c r="Q14" s="0" t="n">
        <v>0.386</v>
      </c>
      <c r="R14" s="0" t="n">
        <v>0.348</v>
      </c>
      <c r="S14" s="0" t="n">
        <v>350000</v>
      </c>
    </row>
    <row r="15" customFormat="false" ht="15" hidden="false" customHeight="false" outlineLevel="0" collapsed="false">
      <c r="A15" s="0" t="s">
        <v>293</v>
      </c>
      <c r="B15" s="0" t="n">
        <v>3</v>
      </c>
      <c r="C15" s="0" t="n">
        <v>6.49</v>
      </c>
      <c r="D15" s="0" t="n">
        <v>19.47</v>
      </c>
      <c r="E15" s="0" t="n">
        <v>7.658</v>
      </c>
      <c r="F15" s="0" t="n">
        <v>0.751</v>
      </c>
      <c r="G15" s="0" t="n">
        <v>1.397</v>
      </c>
      <c r="H15" s="0" t="n">
        <v>0.549</v>
      </c>
      <c r="I15" s="0" t="n">
        <v>0.185</v>
      </c>
      <c r="J15" s="0" t="n">
        <v>2.881</v>
      </c>
      <c r="K15" s="0" t="n">
        <v>0.466</v>
      </c>
      <c r="L15" s="0" t="n">
        <v>0.03</v>
      </c>
      <c r="M15" s="0" t="n">
        <v>3.377</v>
      </c>
      <c r="N15" s="0" t="n">
        <v>10.13</v>
      </c>
      <c r="O15" s="0" t="n">
        <v>0.48</v>
      </c>
      <c r="P15" s="0" t="n">
        <v>0.551</v>
      </c>
      <c r="Q15" s="0" t="n">
        <v>0.451</v>
      </c>
      <c r="R15" s="0" t="n">
        <v>0.418</v>
      </c>
      <c r="S15" s="0" t="n">
        <v>350000</v>
      </c>
    </row>
    <row r="16" customFormat="false" ht="15" hidden="false" customHeight="false" outlineLevel="0" collapsed="false">
      <c r="A16" s="0" t="s">
        <v>293</v>
      </c>
      <c r="B16" s="0" t="n">
        <v>5</v>
      </c>
      <c r="C16" s="0" t="n">
        <v>6.49</v>
      </c>
      <c r="D16" s="0" t="n">
        <v>32.45</v>
      </c>
      <c r="E16" s="0" t="n">
        <v>7.658</v>
      </c>
      <c r="F16" s="0" t="n">
        <v>0.751</v>
      </c>
      <c r="G16" s="0" t="n">
        <v>1.426</v>
      </c>
      <c r="H16" s="0" t="n">
        <v>0.549</v>
      </c>
      <c r="I16" s="0" t="n">
        <v>0.114</v>
      </c>
      <c r="J16" s="0" t="n">
        <v>2.84</v>
      </c>
      <c r="K16" s="0" t="n">
        <v>0.451</v>
      </c>
      <c r="L16" s="0" t="n">
        <v>0.03</v>
      </c>
      <c r="M16" s="0" t="n">
        <v>3.321</v>
      </c>
      <c r="N16" s="0" t="n">
        <v>16.607</v>
      </c>
      <c r="O16" s="0" t="n">
        <v>0.488</v>
      </c>
      <c r="P16" s="0" t="n">
        <v>0.558</v>
      </c>
      <c r="Q16" s="0" t="n">
        <v>0.461</v>
      </c>
      <c r="R16" s="0" t="n">
        <v>0.428</v>
      </c>
      <c r="S16" s="0" t="n">
        <v>350000</v>
      </c>
    </row>
    <row r="17" customFormat="false" ht="15" hidden="false" customHeight="false" outlineLevel="0" collapsed="false">
      <c r="A17" s="0" t="s">
        <v>293</v>
      </c>
      <c r="B17" s="0" t="n">
        <v>10</v>
      </c>
      <c r="C17" s="0" t="n">
        <v>6.49</v>
      </c>
      <c r="D17" s="0" t="n">
        <v>64.9</v>
      </c>
      <c r="E17" s="0" t="n">
        <v>7.658</v>
      </c>
      <c r="F17" s="0" t="n">
        <v>0.751</v>
      </c>
      <c r="G17" s="0" t="n">
        <v>1.498</v>
      </c>
      <c r="H17" s="0" t="n">
        <v>0.549</v>
      </c>
      <c r="I17" s="0" t="n">
        <v>0.062</v>
      </c>
      <c r="J17" s="0" t="n">
        <v>2.86</v>
      </c>
      <c r="K17" s="0" t="n">
        <v>0.441</v>
      </c>
      <c r="L17" s="0" t="n">
        <v>0.03</v>
      </c>
      <c r="M17" s="0" t="n">
        <v>3.331</v>
      </c>
      <c r="N17" s="0" t="n">
        <v>33.308</v>
      </c>
      <c r="O17" s="0" t="n">
        <v>0.487</v>
      </c>
      <c r="P17" s="0" t="n">
        <v>0.555</v>
      </c>
      <c r="Q17" s="0" t="n">
        <v>0.46</v>
      </c>
      <c r="R17" s="0" t="n">
        <v>0.428</v>
      </c>
      <c r="S17" s="0" t="n">
        <v>350000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2026-10-19T04:22:26Z</dcterms:created>
  <dc:creator>openpyxl</dc:creator>
  <dc:description/>
  <dc:language>en-US</dc:language>
  <cp:lastModifiedBy/>
  <dcterms:modified xsi:type="dcterms:W3CDTF">2026-10-19T04:22:26Z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